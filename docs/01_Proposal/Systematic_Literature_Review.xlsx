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University\Semester 7\Research Methodologies\"/>
    </mc:Choice>
  </mc:AlternateContent>
  <xr:revisionPtr revIDLastSave="0" documentId="13_ncr:1_{32FE3C5A-6635-4760-A93D-7E7237E70322}" xr6:coauthVersionLast="47" xr6:coauthVersionMax="47" xr10:uidLastSave="{00000000-0000-0000-0000-000000000000}"/>
  <bookViews>
    <workbookView xWindow="-108" yWindow="-108" windowWidth="23256" windowHeight="12456" tabRatio="770" xr2:uid="{00000000-000D-0000-FFFF-FFFF00000000}"/>
  </bookViews>
  <sheets>
    <sheet name="Final Sorted list" sheetId="12" r:id="rId1"/>
    <sheet name="Sorted list" sheetId="10" r:id="rId2"/>
    <sheet name="Check Duplicates" sheetId="9" r:id="rId3"/>
    <sheet name="IEEE Xplore" sheetId="2" r:id="rId4"/>
    <sheet name="SpringerLink" sheetId="3" r:id="rId5"/>
    <sheet name="Taylor &amp; Francis" sheetId="8" r:id="rId6"/>
    <sheet name="Science Direct" sheetId="5" r:id="rId7"/>
    <sheet name="ACM Digital" sheetId="4" r:id="rId8"/>
    <sheet name="Wiley" sheetId="7" r:id="rId9"/>
  </sheets>
  <definedNames>
    <definedName name="_xlnm._FilterDatabase" localSheetId="2" hidden="1">'Check Duplicates'!$B$1:$B$244</definedName>
    <definedName name="_xlnm._FilterDatabase" localSheetId="0" hidden="1">'Final Sorted list'!$D$1:$D$947</definedName>
    <definedName name="_xlnm._FilterDatabase" localSheetId="1" hidden="1">'Sorted list'!$D$1:$D$964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12" l="1"/>
  <c r="E26" i="12"/>
  <c r="E25" i="12"/>
  <c r="E23" i="12"/>
  <c r="E22" i="12"/>
  <c r="E17" i="12"/>
  <c r="E16" i="12"/>
  <c r="E14" i="12"/>
  <c r="E13" i="12"/>
  <c r="E12" i="12"/>
  <c r="E9" i="12"/>
  <c r="E8" i="12"/>
  <c r="E6" i="12"/>
  <c r="E5" i="12"/>
  <c r="E4" i="12"/>
  <c r="E3" i="12"/>
  <c r="E2" i="12"/>
  <c r="E44" i="10"/>
  <c r="E42" i="10"/>
  <c r="E43" i="10"/>
  <c r="E39" i="10"/>
  <c r="E40" i="10"/>
  <c r="E38" i="10"/>
  <c r="E29" i="10"/>
  <c r="E30" i="10"/>
  <c r="E21" i="10"/>
  <c r="E22" i="10"/>
  <c r="E23" i="10"/>
  <c r="E24" i="10"/>
  <c r="E25" i="10"/>
  <c r="E26" i="10"/>
  <c r="E20" i="10"/>
  <c r="E11" i="10"/>
  <c r="E12" i="10"/>
  <c r="E13" i="10"/>
  <c r="E14" i="10"/>
  <c r="E5" i="10"/>
  <c r="E6" i="10"/>
  <c r="E7" i="10"/>
  <c r="E8" i="10"/>
  <c r="E3" i="10"/>
  <c r="E4" i="10"/>
  <c r="E2" i="10"/>
  <c r="D10" i="9"/>
  <c r="D21" i="9"/>
  <c r="D36" i="9"/>
  <c r="D42" i="9"/>
  <c r="D49" i="9"/>
  <c r="D65" i="9"/>
  <c r="D73" i="9"/>
  <c r="D78" i="9"/>
  <c r="D84" i="9"/>
  <c r="D93" i="9"/>
  <c r="E15" i="8"/>
  <c r="E16" i="8"/>
  <c r="E17" i="8"/>
  <c r="E18" i="8"/>
  <c r="E19" i="8"/>
  <c r="G16" i="8"/>
  <c r="G17" i="8"/>
  <c r="G18" i="8"/>
  <c r="G19" i="8"/>
  <c r="G12" i="8"/>
  <c r="G13" i="8"/>
  <c r="G14" i="8"/>
  <c r="G15" i="8"/>
  <c r="E12" i="8"/>
  <c r="E13" i="8"/>
  <c r="E14" i="8"/>
  <c r="E8" i="8"/>
  <c r="E9" i="8"/>
  <c r="E10" i="8"/>
  <c r="E11" i="8"/>
  <c r="G9" i="8"/>
  <c r="G10" i="8"/>
  <c r="G11" i="8"/>
  <c r="E5" i="8"/>
  <c r="E6" i="8"/>
  <c r="E7" i="8"/>
  <c r="G5" i="8"/>
  <c r="G6" i="8"/>
  <c r="G7" i="8"/>
  <c r="G8" i="8"/>
  <c r="E3" i="8"/>
  <c r="E4" i="8"/>
  <c r="E2" i="8"/>
  <c r="G3" i="8"/>
  <c r="G4" i="8"/>
  <c r="G2" i="8"/>
  <c r="E24" i="7"/>
  <c r="E23" i="7"/>
  <c r="E25" i="7"/>
  <c r="E26" i="7"/>
  <c r="E27" i="7"/>
  <c r="E28" i="7"/>
  <c r="G29" i="7"/>
  <c r="G24" i="7"/>
  <c r="G25" i="7"/>
  <c r="G26" i="7"/>
  <c r="G27" i="7"/>
  <c r="G28" i="7"/>
  <c r="E18" i="7"/>
  <c r="E19" i="7"/>
  <c r="E20" i="7"/>
  <c r="E21" i="7"/>
  <c r="E22" i="7"/>
  <c r="G18" i="7"/>
  <c r="G19" i="7"/>
  <c r="G20" i="7"/>
  <c r="G21" i="7"/>
  <c r="G22" i="7"/>
  <c r="G23" i="7"/>
  <c r="G13" i="7"/>
  <c r="G14" i="7"/>
  <c r="G15" i="7"/>
  <c r="G16" i="7"/>
  <c r="G17" i="7"/>
  <c r="E13" i="7"/>
  <c r="E14" i="7"/>
  <c r="E15" i="7"/>
  <c r="E16" i="7"/>
  <c r="E17" i="7"/>
  <c r="E7" i="7"/>
  <c r="E8" i="7"/>
  <c r="E9" i="7"/>
  <c r="E10" i="7"/>
  <c r="E11" i="7"/>
  <c r="E12" i="7"/>
  <c r="G12" i="7"/>
  <c r="G7" i="7"/>
  <c r="G8" i="7"/>
  <c r="G9" i="7"/>
  <c r="G10" i="7"/>
  <c r="G11" i="7"/>
  <c r="E11" i="4"/>
  <c r="E12" i="4"/>
  <c r="E13" i="4"/>
  <c r="E14" i="4"/>
  <c r="E15" i="4"/>
  <c r="E16" i="4"/>
  <c r="E17" i="4"/>
  <c r="E18" i="4"/>
  <c r="E19" i="4"/>
  <c r="E20" i="4"/>
  <c r="E21" i="4"/>
  <c r="E22" i="4"/>
  <c r="E23" i="4"/>
  <c r="E24" i="4"/>
  <c r="E25" i="4"/>
  <c r="G19" i="4"/>
  <c r="G20" i="4"/>
  <c r="G21" i="4"/>
  <c r="G22" i="4"/>
  <c r="G23" i="4"/>
  <c r="G24" i="4"/>
  <c r="G25" i="4"/>
  <c r="G18" i="4"/>
  <c r="G12" i="4"/>
  <c r="G13" i="4"/>
  <c r="G14" i="4"/>
  <c r="G15" i="4"/>
  <c r="G16" i="4"/>
  <c r="G17" i="4"/>
  <c r="G11" i="4"/>
  <c r="G6" i="7"/>
  <c r="E6" i="7"/>
  <c r="E3" i="7"/>
  <c r="E4" i="7"/>
  <c r="E5" i="7"/>
  <c r="E2" i="7"/>
  <c r="G3" i="7"/>
  <c r="G4" i="7"/>
  <c r="G5" i="7"/>
  <c r="G2" i="7"/>
  <c r="E35" i="5"/>
  <c r="E36" i="5"/>
  <c r="E37" i="5"/>
  <c r="E38" i="5"/>
  <c r="E39" i="5"/>
  <c r="G35" i="5"/>
  <c r="G36" i="5"/>
  <c r="G37" i="5"/>
  <c r="G38" i="5"/>
  <c r="G39" i="5"/>
  <c r="G40" i="5"/>
  <c r="G29" i="5"/>
  <c r="G30" i="5"/>
  <c r="G31" i="5"/>
  <c r="G32" i="5"/>
  <c r="G33" i="5"/>
  <c r="G34" i="5"/>
  <c r="E29" i="5"/>
  <c r="E30" i="5"/>
  <c r="E31" i="5"/>
  <c r="E32" i="5"/>
  <c r="E33" i="5"/>
  <c r="E34" i="5"/>
  <c r="E24" i="5"/>
  <c r="E25" i="5"/>
  <c r="E26" i="5"/>
  <c r="E27" i="5"/>
  <c r="E28" i="5"/>
  <c r="G25" i="5"/>
  <c r="G26" i="5"/>
  <c r="G27" i="5"/>
  <c r="G28" i="5"/>
  <c r="E3" i="5"/>
  <c r="E4" i="5"/>
  <c r="E5" i="5"/>
  <c r="E6" i="5"/>
  <c r="E7" i="5"/>
  <c r="E8" i="5"/>
  <c r="E9" i="5"/>
  <c r="E10" i="5"/>
  <c r="E11" i="5"/>
  <c r="E12" i="5"/>
  <c r="E13" i="5"/>
  <c r="E14" i="5"/>
  <c r="E15" i="5"/>
  <c r="E16" i="5"/>
  <c r="E17" i="5"/>
  <c r="E18" i="5"/>
  <c r="E19" i="5"/>
  <c r="E20" i="5"/>
  <c r="E21" i="5"/>
  <c r="E22" i="5"/>
  <c r="E23" i="5"/>
  <c r="E2" i="5"/>
  <c r="G16" i="5"/>
  <c r="G17" i="5"/>
  <c r="G18" i="5"/>
  <c r="G19" i="5"/>
  <c r="G20" i="5"/>
  <c r="G21" i="5"/>
  <c r="G22" i="5"/>
  <c r="G23" i="5"/>
  <c r="G24" i="5"/>
  <c r="G10" i="5"/>
  <c r="G11" i="5"/>
  <c r="G12" i="5"/>
  <c r="G14" i="5"/>
  <c r="G15" i="5"/>
  <c r="G13" i="5"/>
  <c r="G8" i="5"/>
  <c r="G9" i="5"/>
  <c r="G3" i="5"/>
  <c r="G4" i="5"/>
  <c r="G5" i="5"/>
  <c r="G6" i="5"/>
  <c r="G7" i="5"/>
  <c r="G2" i="5"/>
  <c r="E3" i="4"/>
  <c r="E4" i="4"/>
  <c r="E5" i="4"/>
  <c r="E6" i="4"/>
  <c r="E7" i="4"/>
  <c r="E8" i="4"/>
  <c r="E9" i="4"/>
  <c r="E10" i="4"/>
  <c r="E2" i="4"/>
  <c r="G3" i="4"/>
  <c r="G4" i="4"/>
  <c r="G5" i="4"/>
  <c r="G6" i="4"/>
  <c r="G7" i="4"/>
  <c r="G8" i="4"/>
  <c r="G9" i="4"/>
  <c r="G10" i="4"/>
  <c r="G2" i="4"/>
  <c r="E37" i="3"/>
  <c r="E38" i="3"/>
  <c r="E39" i="3"/>
  <c r="E40" i="3"/>
  <c r="E41" i="3"/>
  <c r="E42" i="3"/>
  <c r="E43" i="3"/>
  <c r="E44" i="3"/>
  <c r="E45" i="3"/>
  <c r="E46" i="3"/>
  <c r="E28" i="3"/>
  <c r="E29" i="3"/>
  <c r="E30" i="3"/>
  <c r="E31" i="3"/>
  <c r="E32" i="3"/>
  <c r="E33" i="3"/>
  <c r="E34" i="3"/>
  <c r="E35" i="3"/>
  <c r="E36" i="3"/>
  <c r="G38" i="3"/>
  <c r="G39" i="3"/>
  <c r="G40" i="3"/>
  <c r="G41" i="3"/>
  <c r="G42" i="3"/>
  <c r="G43" i="3"/>
  <c r="G44" i="3"/>
  <c r="G45" i="3"/>
  <c r="G46" i="3"/>
  <c r="G28" i="3"/>
  <c r="G29" i="3"/>
  <c r="G30" i="3"/>
  <c r="G31" i="3"/>
  <c r="G32" i="3"/>
  <c r="G33" i="3"/>
  <c r="G34" i="3"/>
  <c r="G35" i="3"/>
  <c r="G36" i="3"/>
  <c r="G37" i="3"/>
  <c r="E22" i="3"/>
  <c r="E23" i="3"/>
  <c r="E24" i="3"/>
  <c r="E25" i="3"/>
  <c r="E26" i="3"/>
  <c r="E27" i="3"/>
  <c r="G22" i="3"/>
  <c r="G23" i="3"/>
  <c r="G24" i="3"/>
  <c r="G25" i="3"/>
  <c r="G26" i="3"/>
  <c r="G27" i="3"/>
  <c r="E17" i="3"/>
  <c r="E18" i="3"/>
  <c r="E19" i="3"/>
  <c r="E20" i="3"/>
  <c r="E21" i="3"/>
  <c r="G17" i="3"/>
  <c r="G18" i="3"/>
  <c r="G19" i="3"/>
  <c r="G20" i="3"/>
  <c r="G21" i="3"/>
  <c r="E3" i="3"/>
  <c r="E4" i="3"/>
  <c r="E5" i="3"/>
  <c r="E6" i="3"/>
  <c r="E7" i="3"/>
  <c r="E8" i="3"/>
  <c r="E9" i="3"/>
  <c r="E10" i="3"/>
  <c r="E11" i="3"/>
  <c r="E12" i="3"/>
  <c r="E13" i="3"/>
  <c r="E14" i="3"/>
  <c r="E15" i="3"/>
  <c r="E16" i="3"/>
  <c r="G8" i="3"/>
  <c r="G9" i="3"/>
  <c r="G10" i="3"/>
  <c r="G11" i="3"/>
  <c r="G12" i="3"/>
  <c r="G13" i="3"/>
  <c r="G14" i="3"/>
  <c r="G15" i="3"/>
  <c r="G16" i="3"/>
  <c r="E2" i="3"/>
  <c r="G2" i="3"/>
  <c r="E2" i="2"/>
  <c r="G3" i="3"/>
  <c r="G4" i="3"/>
  <c r="G5" i="3"/>
  <c r="G6" i="3"/>
  <c r="G7" i="3"/>
  <c r="G21" i="2"/>
  <c r="G50" i="2"/>
  <c r="G51" i="2"/>
  <c r="G52" i="2"/>
  <c r="G53" i="2"/>
  <c r="G54" i="2"/>
  <c r="G55" i="2"/>
  <c r="G56" i="2"/>
  <c r="E49" i="2"/>
  <c r="E50" i="2"/>
  <c r="E51" i="2"/>
  <c r="E52" i="2"/>
  <c r="E53" i="2"/>
  <c r="E54" i="2"/>
  <c r="E55" i="2"/>
  <c r="E56" i="2"/>
  <c r="E42" i="2"/>
  <c r="E43" i="2"/>
  <c r="E44" i="2"/>
  <c r="E45" i="2"/>
  <c r="E46" i="2"/>
  <c r="E47" i="2"/>
  <c r="E48" i="2"/>
  <c r="G42" i="2"/>
  <c r="G43" i="2"/>
  <c r="G44" i="2"/>
  <c r="G45" i="2"/>
  <c r="G46" i="2"/>
  <c r="G47" i="2"/>
  <c r="G48" i="2"/>
  <c r="G49" i="2"/>
  <c r="G37" i="2"/>
  <c r="G38" i="2"/>
  <c r="G39" i="2"/>
  <c r="G40" i="2"/>
  <c r="G41" i="2"/>
  <c r="E36" i="2"/>
  <c r="E37" i="2"/>
  <c r="E38" i="2"/>
  <c r="E39" i="2"/>
  <c r="E40" i="2"/>
  <c r="E41" i="2"/>
  <c r="E29" i="2"/>
  <c r="E30" i="2"/>
  <c r="E31" i="2"/>
  <c r="E32" i="2"/>
  <c r="E33" i="2"/>
  <c r="E34" i="2"/>
  <c r="E35" i="2"/>
  <c r="E12" i="2"/>
  <c r="E13" i="2"/>
  <c r="E14" i="2"/>
  <c r="E15" i="2"/>
  <c r="E16" i="2"/>
  <c r="E17" i="2"/>
  <c r="E18" i="2"/>
  <c r="E19" i="2"/>
  <c r="E20" i="2"/>
  <c r="E21" i="2"/>
  <c r="E22" i="2"/>
  <c r="E23" i="2"/>
  <c r="E24" i="2"/>
  <c r="E25" i="2"/>
  <c r="E26" i="2"/>
  <c r="E27" i="2"/>
  <c r="E28" i="2"/>
  <c r="E3" i="2"/>
  <c r="E4" i="2"/>
  <c r="E5" i="2"/>
  <c r="E6" i="2"/>
  <c r="E7" i="2"/>
  <c r="E8" i="2"/>
  <c r="E9" i="2"/>
  <c r="E10" i="2"/>
  <c r="E11" i="2"/>
  <c r="G36" i="2"/>
  <c r="G29" i="2"/>
  <c r="G30" i="2"/>
  <c r="G31" i="2"/>
  <c r="G32" i="2"/>
  <c r="G33" i="2"/>
  <c r="G34" i="2"/>
  <c r="G35" i="2"/>
  <c r="G22" i="2"/>
  <c r="G23" i="2"/>
  <c r="G24" i="2"/>
  <c r="G25" i="2"/>
  <c r="G26" i="2"/>
  <c r="G27" i="2"/>
  <c r="G28" i="2"/>
  <c r="G2" i="2"/>
  <c r="G3" i="2"/>
  <c r="G4" i="2"/>
  <c r="G5" i="2"/>
  <c r="G6" i="2"/>
  <c r="G7" i="2"/>
  <c r="G8" i="2"/>
  <c r="G9" i="2"/>
  <c r="G11" i="2"/>
  <c r="G12" i="2"/>
  <c r="G13" i="2"/>
  <c r="G14" i="2"/>
  <c r="G15" i="2"/>
  <c r="G16" i="2"/>
  <c r="G17" i="2"/>
  <c r="G18" i="2"/>
  <c r="G19" i="2"/>
  <c r="G20" i="2"/>
  <c r="D80" i="9"/>
  <c r="D44" i="9"/>
  <c r="D22" i="9"/>
  <c r="D133" i="9"/>
  <c r="D77" i="9"/>
  <c r="D26" i="9"/>
  <c r="D15" i="9"/>
  <c r="D64" i="9"/>
  <c r="D27" i="9"/>
  <c r="D50" i="9"/>
  <c r="D5" i="9"/>
  <c r="D74" i="9"/>
  <c r="D19" i="9"/>
  <c r="D55" i="9"/>
  <c r="D94" i="9"/>
  <c r="D196" i="9"/>
  <c r="D16" i="9"/>
  <c r="D99" i="9"/>
  <c r="D87" i="9"/>
  <c r="D33" i="9"/>
  <c r="D86" i="9"/>
  <c r="D28" i="9"/>
  <c r="D165" i="9"/>
  <c r="D17" i="9"/>
  <c r="D38" i="9"/>
  <c r="D96" i="9"/>
  <c r="D20" i="9"/>
  <c r="D56" i="9"/>
  <c r="D14" i="9"/>
  <c r="D71" i="9"/>
  <c r="D89" i="9"/>
  <c r="D66" i="9"/>
  <c r="D18" i="9"/>
  <c r="D39" i="9"/>
  <c r="D35" i="9"/>
  <c r="D46" i="9"/>
  <c r="D91" i="9"/>
  <c r="D139" i="9"/>
  <c r="D59" i="9"/>
  <c r="D76" i="9"/>
  <c r="D62" i="9"/>
  <c r="D85" i="9"/>
  <c r="D72" i="9"/>
  <c r="D29" i="9"/>
  <c r="D101" i="9"/>
  <c r="D75" i="9"/>
  <c r="D41" i="9"/>
  <c r="D34" i="9"/>
  <c r="D43" i="9"/>
  <c r="D63" i="9"/>
  <c r="D30" i="9"/>
  <c r="D40" i="9"/>
  <c r="D135" i="9"/>
  <c r="D25" i="9"/>
  <c r="D54" i="9"/>
  <c r="D90" i="9"/>
  <c r="D95" i="9"/>
  <c r="D11" i="9"/>
  <c r="D48" i="9"/>
  <c r="D31" i="9"/>
  <c r="D52" i="9"/>
  <c r="D61" i="9"/>
  <c r="D128" i="9"/>
  <c r="D8" i="9"/>
  <c r="D100" i="9"/>
  <c r="D88" i="9"/>
  <c r="D51" i="9"/>
  <c r="D102" i="9"/>
  <c r="D4" i="9"/>
  <c r="D9" i="9"/>
  <c r="D67" i="9"/>
  <c r="D12" i="9"/>
  <c r="D58" i="9"/>
  <c r="D53" i="9"/>
  <c r="D47" i="9"/>
  <c r="D98" i="9"/>
  <c r="D7" i="9"/>
  <c r="D13" i="9"/>
  <c r="D23" i="9"/>
  <c r="D3" i="9"/>
  <c r="D92" i="9"/>
  <c r="D32" i="9"/>
  <c r="D24" i="9"/>
  <c r="D45" i="9"/>
  <c r="D6" i="9"/>
  <c r="D37" i="9"/>
  <c r="D201" i="9"/>
  <c r="D60" i="9"/>
  <c r="D2" i="9"/>
  <c r="D97" i="9"/>
</calcChain>
</file>

<file path=xl/sharedStrings.xml><?xml version="1.0" encoding="utf-8"?>
<sst xmlns="http://schemas.openxmlformats.org/spreadsheetml/2006/main" count="2135" uniqueCount="1233">
  <si>
    <t>Database</t>
  </si>
  <si>
    <t>Tittle of the paper</t>
  </si>
  <si>
    <t>ID</t>
  </si>
  <si>
    <t>URL/ DOI</t>
  </si>
  <si>
    <t>Author</t>
  </si>
  <si>
    <t>Abstract</t>
  </si>
  <si>
    <t>Keyword Found</t>
  </si>
  <si>
    <t>Year</t>
  </si>
  <si>
    <t>Research Objectives</t>
  </si>
  <si>
    <t>Methodology</t>
  </si>
  <si>
    <t>Main Results/Findings</t>
  </si>
  <si>
    <t>Key Points</t>
  </si>
  <si>
    <t>Implications of the Study</t>
  </si>
  <si>
    <t>Research Gaps/Challenges</t>
  </si>
  <si>
    <t>Summary</t>
  </si>
  <si>
    <t>IEEE</t>
  </si>
  <si>
    <t>Medium</t>
  </si>
  <si>
    <t>IX6</t>
  </si>
  <si>
    <t>IX21</t>
  </si>
  <si>
    <t>High</t>
  </si>
  <si>
    <t>ACM Digital</t>
  </si>
  <si>
    <t>SL2</t>
  </si>
  <si>
    <t>SL10</t>
  </si>
  <si>
    <t>Science Direct</t>
  </si>
  <si>
    <t>SD1</t>
  </si>
  <si>
    <t>SD2</t>
  </si>
  <si>
    <t>SD4</t>
  </si>
  <si>
    <t>SD6</t>
  </si>
  <si>
    <t>SD8</t>
  </si>
  <si>
    <t>SD12</t>
  </si>
  <si>
    <t>SD13</t>
  </si>
  <si>
    <t>SD14</t>
  </si>
  <si>
    <t>SD15</t>
  </si>
  <si>
    <t>SD18</t>
  </si>
  <si>
    <t>Wiley</t>
  </si>
  <si>
    <t>Taylor &amp; Francis</t>
  </si>
  <si>
    <t>TF2</t>
  </si>
  <si>
    <t>TF3</t>
  </si>
  <si>
    <t>Snowballing</t>
  </si>
  <si>
    <t>Search Term</t>
  </si>
  <si>
    <t>Available</t>
  </si>
  <si>
    <t>NO</t>
  </si>
  <si>
    <t>YES</t>
  </si>
  <si>
    <t>("Document Title":pedestrian detection) AND ("All Metadata":privacy) OR ("All Metadata":privacy-preserving techniques) OR ("All Metadata":face blurring)</t>
  </si>
  <si>
    <t>Robust Face Hallucination Algorithm Using Motion Blur Embedded Nearest Proximate Patch Representation</t>
  </si>
  <si>
    <t>D. Rai; S. S. Rajput</t>
  </si>
  <si>
    <t>YOLOv9-Based Human Face Detection and Counting Under Human-Animal Faces, Complex Imaging Environments, and Image Qualities</t>
  </si>
  <si>
    <t>S. Perikamana Narayanan; M. Sabarimalai Manikandan; L. R. Cenkeramaddi</t>
  </si>
  <si>
    <t>An Automatic System for Unconstrained Video-Based Face Recognition</t>
  </si>
  <si>
    <t>J. Zheng; R. Ranjan; C. -H. Chen; J. -C. Chen; C. D. Castillo; R. Chellappa</t>
  </si>
  <si>
    <t>PRO-Face C: Privacy-Preserving Recognition of Obfuscated Face via Feature Compensation</t>
  </si>
  <si>
    <t>L. Yuan; W. Chen; X. Pu; Y. Zhang; H. Li; Y. Zhang; X. Gao; T. Ebrahimi</t>
  </si>
  <si>
    <t>Joint Face Image Restoration and Frontalization for Recognition</t>
  </si>
  <si>
    <t>X. Tu; J. Zhao; Q. Liu; W. Ai; G. Guo; Z. Li; W. Liu; J. Feng</t>
  </si>
  <si>
    <t>Hiding Face Into Background: A Proactive Countermeasure Against Malicious Face Swapping</t>
  </si>
  <si>
    <t>X. Shen; H. Yao; S. Tan; C. Qin</t>
  </si>
  <si>
    <t>Face hallucination (FH) techniques have received a lot of attention in recent years for generating high-resolution (HR) face images from captured low-resolution (LR), noisy, and blurry images. However, existing FH techniques are incapable of dealing with motion blur, which is commonly introduced in captured images due to camera defocussing and other factors. Therefore, to make the FH process more resistant to motion blur, in this article, we present a novel learning-based FH algorithm called Motion Blur Embedded Nearest Proximate Patch Representation (MBENPPR). The MBENPPR algorithm begins by estimating the motion blur kernel from a motion-blurred LR test face. The estimated kernel is then embedded in training images to make them compatible with test images. It assists in reducing the effect of motion blur in the reconstruction process. Furthermore, the nearest proximate patches are selected from the training space to represent the test image patches as a weighted linear combination of selected patches. It facilitates the proposed algorithm in preserving sharp edges and texture information in the resulting faces. The results of simulations on standard datasets and locally captured real-life faces show that the MBENPPR algorithm outperforms the compared existing algorithms.</t>
  </si>
  <si>
    <t>Automatic human face detection and counting can play a vital role in the recognition and tracking of infant and adult faces in both outdoor and indoor human surveillance applications and facial-vital sign measurement. Despite the advancements in deep learning networks, accurate and reliable detection is still a challenging task in the presence of different kinds of objects, animal faces, and image characteristics. In this paper, we study the effectiveness of the YOLOv9-based face detection and counting method under skin color variations, different face sizes and number of faces, mixture of human and animal faces, image properties (brightness, contrast, illumination, glare), image qualities (image blurring, low-light facial images, lens flared images, grainy images taken at night, different types of noises), and pareidolia effects. The proposed method is trained and validated using the Wider Face database. In addition, we created image databases with different kinds of image qualities and image characteristics with the above-mentioned challenges. The YOLOv9-based face detection model achieves a precision of 86%, a recall of 62.8%, and a mean average precision of 70.8% at an inference time of 15.2 ms on the Wider Face database. Evaluation results demonstrate that the YOLOv9-based face counting outperforms most of the state-of-the-art face detection and people counting methods with a mean absolute error (MAE) of 3.36 and root mean square error (RMSE) of 22.38. The model was also deployed on the Raspberry Pi edge computing platform to study the real-time performance. The YOLOv9-based method achieves an MAE of 0.53-5.76 on the untrained infant database with Gaussian, salt and pepper, and speckle noises and an MAE of 0.43-2.87 on faces inside vehicles. The study further highlights the effectiveness of the YOLOv9 model in achieving promising face detection and counting results under a range of illumination and skin color variations. Evaluation results on a wide variety of animal faces and pareidolia-induced faces demonstrate more false positives due to the lack of contextual intelligence in the generation of deep-face models. Further, results show that the deep-face model detects artificial faces (statues, art, paintings, posters) if the model is deployed in uncontrolled face-based application environments. The performance of the model is degraded under different kinds of noise and blurred images. The results of this study highlight that performance can be improved by using noise-specific filtering techniques with optimal filtering parameters, but this requires the automatic identification of noise types and their corresponding parameters.</t>
  </si>
  <si>
    <t>Although deep learning approaches have achieved performance surpassing humans for still image-based face recognition, unconstrained video-based face recognition is still a challenging task due to large volume of data to be processed and intra/inter-video variations on pose, illumination, occlusion, scene, blur, video quality, etc. In this work, we consider challenging scenarios for unconstrained video-based face recognition from multiple-shot videos and surveillance videos with low-quality frames. To handle these problems, we propose a robust and efficient system for unconstrained video-based face recognition, which is composed of modules for face/fiducial detection, face association, and face recognition. First, we use multi-scale single-shot face detectors to efficiently localize faces in videos. The detected faces are then grouped through carefully designed face association methods, especially for multi-shot videos. Finally, the faces are recognized by the proposed face matcher based on an unsupervised subspace learning approach and a subspace-to-subspace similarity metric. Extensive experiments on challenging video datasets, such as Multiple Biometric Grand Challenge (MBGC), Face and Ocular Challenge Series (FOCS), IARPA Janus Surveillance Video Benchmark (IJB-S) for low-quality surveillance videos and IARPA JANUS Benchmark B (IJB-B) for multiple-shot videos, demonstrate that the proposed system can accurately detect and associate faces from unconstrained videos and effectively learn robust and discriminative features for recognition.</t>
  </si>
  <si>
    <t>The advancement of face recognition technology has delivered substantial societal advantages. However, it has also raised global privacy concerns due to the ubiquitous collection and potential misuse of individualsâ€™ facial data. This presents a notable paradox: while there is a societal demand for a robust face recognition ecosystem to ensure public security and convenience, an increasing number of individuals are hesitant to release their facial data. Numerous studies have endeavored to find such a utility-privacy trade-off, yet many struggle with the dilemma of prioritizing one at the expense of the other. In response to this challenge, this paper proposes PRO-Face C, a novel paradigm for privacy-preserving recognition of obfuscated faces via a dedicated feature compensation mechanism, aimed at optimizing the equilibrium between privacy preservation and utility maximization. The proposed approach is characterized by a specialized client-server architecture: the client transmits only obfuscated images to the server, which then performs identity recognition using a pre-trained model in conjunction with a suite of privacy-free complementary features. This framework facilitates accurate face identification while safeguarding the original facial appearance from explicit disclosure. Furthermore, the obfuscated image retains its visualization capability, crucial for image preview functionalities. To ensure the desired properties, we have developed an identity-guided feature compensation mechanism, complemented by several privacy-enhancing techniques. Extensive experiments conducted across multiple face datasets underscore the effectiveness of the proposed approach in diverse scenarios.</t>
  </si>
  <si>
    <t>In real-world scenarios, many factors may harm face recognition performance, e.g., large pose, bad illumination, low resolution, blur and noise. To address these challenges, previous efforts usually first restore the low-quality faces to high-quality ones and then perform face recognition. However, most of these methods are stage-wise, which is sub-optimal and deviates from the reality. In this paper, we address all these challenges jointly for unconstrained face recognition. We propose an Multi-Degradation Face Restoration (MDFR) model to restore frontalized high-quality faces from the given low-quality ones under arbitrary facial poses, with three distinct novelties. First, MDFR is a well-designed encoder-decoder architecture which extracts feature representation from an input face image with arbitrary low-quality factors and restores it to a high-quality counterpart. Second, MDFR introduces a pose residual learning strategy along with a 3D-based Pose Normalization Module (PNM), which can perceive the pose gap between the input initial pose and its real-frontal pose to guide the face frontalization. Finally, MDFR can generate frontalized high-quality face images by a single unified network, showing a strong capability of preserving face identity. Qualitative and quantitative experiments on both controlled and in-the-wild benchmarks demonstrate the superiority of MDFR over state-of-the-art methods on both face frontalization and face restoration.</t>
  </si>
  <si>
    <t>Face information in public images is vulnerable to tampering. Some studies have used pre-embedded watermarks to detect tampering but cannot recover the original face. To address this, we propose a proactive face hiding network that conceals face information in the background region for the first time. Our framework includes three U-Net-based modules: a preparation network, an encoder, and a recovery network. Special loss functions are designed to achieve our objective of recovering the original face from a protected image attacked by face swapping. In addition, we develop a neural network-based JPEG simulator and a differentiable simulator, offering a fresh perspective on addressing the robustness problem associated with JPEG compression. Our method generates protected images with a peak signal-to-noise ratio (PSNR) of 40.947 dB in experiments. Even after different face attacks, the recovered images maintain PSNR between 28.368 and 33.847 dB. After the attack of JPEG compression, the PSNR of the recovered image decreases by a maximum of 2.142 dB. Our scheme effectively generates high-quality protected images that resist face swapping and JPEG compression attacks, enabling recovery of the original faces.</t>
  </si>
  <si>
    <t>10.1109/TIM.2022.3223141</t>
  </si>
  <si>
    <t>10.1109/ACCESS.2025.3591247</t>
  </si>
  <si>
    <t>10.1109/TBIOM.2020.2973504</t>
  </si>
  <si>
    <t>10.1109/TIFS.2024.3388976</t>
  </si>
  <si>
    <t>10.1109/TCSVT.2021.3078517</t>
  </si>
  <si>
    <t>10.1109/TII.2024.3396268</t>
  </si>
  <si>
    <t>Keywords Found</t>
  </si>
  <si>
    <t>Face hallucination (FH);motion-blur;position-patch;proximate patch;super-resolution (SR)</t>
  </si>
  <si>
    <t>Face detection and people counting;YOLOv9;crowd counting;object detection method;image denoising;speckle noise;salt and pepper noise;Gaussian noise;motion blur;filtering</t>
  </si>
  <si>
    <t>Unconstrained video-based face recognition;face tracking;face association</t>
  </si>
  <si>
    <t>Face recognition;image obfuscation;privacy protection;utility</t>
  </si>
  <si>
    <t>3D based face normalization;multi-degradation face restoration;unconstrained face recognition</t>
  </si>
  <si>
    <t>Data hiding;face recovery;JPEG robustness;proactive DeepFake defense</t>
  </si>
  <si>
    <t>Face Restoration via Plug-and-Play 3D Facial Priors</t>
  </si>
  <si>
    <t>X. Hu; W. Ren; J. Yang; X. Cao; D. Wipf; B. Menze; X. Tong; H. Zha</t>
  </si>
  <si>
    <t>State-of-the-art face restoration methods employ deep convolutional neural networks (CNNs) to learn a mapping between degraded and sharp facial patterns by exploring local appearance knowledge. However, most of these methods do not well exploit facial structures and identity information, and only deal with task-specific face restoration (e.g., face super-resolution or deblurring). In this paper, we propose cross-tasks and cross-models plug-and-play 3D facial priors to explicitly embed the network with the sharp facial structures for general face restoration tasks. Our 3D priors are the first to explore 3D morphable knowledge based on the fusion of parametric descriptions of face attributes (e.g., identity, facial expression, texture, illumination, and face pose). Furthermore, the priors can easily be incorporated into any network and are very efficient in improving the performance and accelerating the convergence speed. Firstly, a 3D face rendering branch is set up to obtain 3D priors of salient facial structures and identity knowledge. Secondly, for better exploiting this hierarchical information (i.e., intensity similarity, 3D facial structure, and identity content), a spatial attention module is designed for the image restoration problems. Extensive face restoration experiments including face super-resolution and deblurring demonstrate that the proposed 3D priors achieve superior face restoration results over the state-of-the-art algorithms.</t>
  </si>
  <si>
    <t>ForgeryNIR: Deep Face Forgery and Detection in Near-Infrared Scenario</t>
  </si>
  <si>
    <t>Y. Wang; C. Peng; D. Liu; N. Wang; X. Gao</t>
  </si>
  <si>
    <t>Evaluating the Impact of Face Anonymization Methods on Computer Vision Tasks: A Trade-Off Between Privacy and Utility</t>
  </si>
  <si>
    <t>R. Stenger; S. Busse; J. Sander; T. Eisenbarth; S. Fudickar</t>
  </si>
  <si>
    <t>CNN-Based Restoration of a Single Face Image Degraded by Atmospheric Turbulence</t>
  </si>
  <si>
    <t>R. Yasarla; V. M. Patel</t>
  </si>
  <si>
    <t>Deep face forgery and detection is an emerging topic due to the development of GANs. Face forgery detection relies greatly on existing databases for evaluation and adequate training examples for data-hungry machine learning algorithms. However, considering the wide application of face recognition in near-infrared scenarios, there is no publicly available face forgery database that includes near-infrared modality currently. In this paper, we present an attempt at constructing a large-scale dataset for face forgery detection in the near-infrared modality and propose a new forgery detection method based on knowledge distillation named cross-modality knowledge distillation aiming to use a teacher model which is pre-trained on the visible light-based (VIS) big data to guide the student model with a small amount of near-infrared (NIR) data. The proposed near-infrared face forgery dataset, named ForgeryNIR, contains a total of over 50,000 real and fake identities. A number of perturbations are applied to help simulate real-world scenarios. All source images in ForgeryNIR are collected from CASIA NIR-VIS 2.0, and fake images are generated via multiple GAN techniques. The proposed dataset fills the gap of face forgery detection research in the near-infrared modality. A comprehensive study on six representative detection baselines is conducted to evaluate the performance of face forgery detection algorithms in the NIR domain. We further construct a hard testing set, named ForgeryNIR+, which contains forged images that have bypassed existing face forgery detection methods. The proposed datasets will be publicly available and aim to help boost further research on face forgery detection, as well as NIR face detection and recognition.</t>
  </si>
  <si>
    <t>Data anonymization is an essential prerequisite that enables data sharing in a privacy-preserving manner. However, anonymization affects the quality of the data and thus might affect the performance of later conducted data analysis. In this work, we investigate the influence of different image-based subject anonymization methods on the performance of the three common computer vision (CV) tasks: keypoint detection, instance segmentation, and face detection. We compare the anonymization methods on how much they affect the performance of the CV tasks, as well as their degree of anonymization. Furthermore, a re-identification attack scenario is applied. The study findings indicate a clear trade-off between increased privacy and decreased CV performance. Latent diffusion (called L-Diff in the following) shows the best results with minimal performance decrease on all CV tasks with a low recognition rate. However, the retrieval rate of our attack scenario, which measures the re-identification rate, remains high for all anonymization methods, which contrasts with the respective low level of recognition.</t>
  </si>
  <si>
    <t>Atmospheric turbulence significantly affects imaging systems which use light that has propagated through long atmospheric paths. Images captured under such condition suffer from a combination of geometric deformation and blur. We present a deep learning-based solution to the problem of restoring a single turbulence-degraded face image where the amount of geometric distortion and blur at each pixel location is first estimated in terms of variance maps using two separate networks. The estimated variance maps are then used by the Turbulence Distortion Removal Network (TDRN) to restore the image. Furthermore, a confidence-guided image gradient-based loss is proposed to train TDRN. Comprehensive experiments on synthetic and real face images show that the proposed framework is capable of alleviating blur and geometric distortion caused by atmospheric turbulence, and can significantly improve the visual quality. In addition, an ablation study is performed to demonstrate the improvements obtained by different modules in the proposed method.</t>
  </si>
  <si>
    <t>10.1109/TPAMI.2021.3123085</t>
  </si>
  <si>
    <t>10.1109/TIFS.2022.3146766</t>
  </si>
  <si>
    <t>10.1109/ACCESS.2024.3519441</t>
  </si>
  <si>
    <t>10.1109/TBIOM.2022.3169697</t>
  </si>
  <si>
    <t>Face restoration;3D facial priors;3D morphable knowledge;facial structures;identity knowledge</t>
  </si>
  <si>
    <t>Near-infrared face;face forgery detection;deepfake</t>
  </si>
  <si>
    <t>Image analysis;data privacy;synthetic data;computer vision;performance evaluation;face recognition;facial features;anonymization;instance segmentation;face detection</t>
  </si>
  <si>
    <t>Turbulence distortion;image restoration;image blur</t>
  </si>
  <si>
    <t>Accelerating Deep Neural Networks for Efficient Scene Understanding in Multi-Modal Automotive Applications</t>
  </si>
  <si>
    <t>S. Nousias; E. -V. Pikoulis; C. Mavrokefalidis; A. S. Lalos</t>
  </si>
  <si>
    <t>Privacy-Preserving Multi-Modality-Based Computer-Aided Diagnosis Processing of Liver Diseases</t>
  </si>
  <si>
    <t>Y. Zhuang; N. Jiang; B. Chen</t>
  </si>
  <si>
    <t>A Privacy-Preserving Collaborative Federated Learning Framework for Detecting Retinal Diseases</t>
  </si>
  <si>
    <t>S. Gulati; K. Guleria; N. Goyal; A. A. AlZubi; Ã. K. Castilla</t>
  </si>
  <si>
    <t>To Hide Private Position Information in Localization for Internet of Underwater Things</t>
  </si>
  <si>
    <t>J. Yan; Y. Meng; X. Luo; X. Guan</t>
  </si>
  <si>
    <t>Privacy-Preserving Facial Emotion Classification With Visual Micro-Doppler Signatures for Hearing Aid Applications</t>
  </si>
  <si>
    <t>U. Anwar; Y. Dong; T. Arslan; K. Dashtipour; M. Gogate; A. Hussain; Q. H. Abbasi; M. A. Imran; T. C. Russ; P. Lomax</t>
  </si>
  <si>
    <t>Audio-Visual Autoencoding for Privacy-Preserving Video Streaming</t>
  </si>
  <si>
    <t>H. Xu; Z. Cai; D. Takabi; W. Li</t>
  </si>
  <si>
    <t>Privacy-Preserving Wandering Behavior Sensing in Dementia Patients Using Modified Logistic and Dynamic Newton Leipnik Maps</t>
  </si>
  <si>
    <t>S. A. Shah; J. Ahmad; F. Masood; S. Y. Shah; H. Pervaiz; W. Taylor; M. A. Imran; Q. H. Abbasi</t>
  </si>
  <si>
    <t>Advanced Hydro-Informatic Modeling Through Feedforward Neural Network, Federated Learning, and Explainable AI for Enhancing Flood Prediction</t>
  </si>
  <si>
    <t>S. H. Mahir; M. T. A. Tashrif; M. A. Karim; D. Kundu; A. Rahman; M. A. Hamza; F. Al Farid; A. S. M. Miah; S. Mansor</t>
  </si>
  <si>
    <t>Environment perception constitutes one of the most critical operations performed by semi- and fully- autonomous vehicles. In recent years, Deep Neural Networks (DNNs) have become the standard tool for perception solutions owing to their impressive capabilities in analyzing and modelling complex and dynamic scenes, from (often multi-modal) sensory inputs. However, the well-established performance of DNNs comes at the cost of increased time and storage complexity, which may become problematic in automotive perception systems due to the requirement for a short prediction horizon (as in many cases inference must be performed in real-time) and the limited computational, storage, and energy resources of mobile systems. A common way of addressing this problem is to transform the original large pre-trained networks into new smaller models, by utilizing Model Compression and Acceleration (MCA) techniques, improving both their storage and execution efficiency. Within the MCA framework, in this paper, we investigate the application of two state-of-the-art weight-sharing MCA techniques, namely a Vector Quantization (VQ) and a Dictionary Learning (DL) one, as well as two novel extensions, towards the acceleration and compression of widely used DNNs for 2D and 3D object-detection in automotive applications. Apart from the individual (uni-modal) networks, we also present and evaluate a multi-modal late-fusion algorithm for combining the detection results of the 2D and 3D detectors. Our evaluation studies are carried out on the KITTI Dataset. The obtained results lend themselves to a twofold interpretation. On the one hand, they showcase the significant acceleration and compression gains that can be achieved via the application of weight sharing on the selected DNN detectors, with limited accuracy loss, as well as highlight the performance differences between the two utilized weight-sharing approaches. On the other, they demonstrate the substantial boost in detection performance obtained by combining the outcome of the two unimodal individual detectors, using the proposed late-fusion-based multi-modal approach. Indeed, as our experiments have shown, pairing the high-performance DL-based MCA technique with the loss-mitigating effect of the multi-modal fusion approach, leads to highly accelerated models (up to approximately  $2.5 \times $  and  $6\times $  for the 2D and 3D detectors, respectively) with the performance loss of the fused results ranging in most cases within single-digits figures (as low as around 1% for the class â€œcarsâ€).</t>
  </si>
  <si>
    <t>The recent advancement in the research fields of medical imaging and machine learning technologies greatly im- prove the accuracy of the content-based medical image retrie- val(Cbmir). Existing Cbmir methods, however, often overlooks the effect of image details on retrieval accuracy, which is usually unsatisfactory. The Cbmir of high-definition CT image (CI) based on deep learning technology, combined with patient symptom information, can precisely assist physicians in disease diagnosis and treatment. To address this issue, we take liver CI as an example in this article, and propose a privacy-preserving Computer-Aided Diagnosis(Cad) method of the liver diseases based on the multi-modal clinical information (e.g., patientsâ€™ CIs and symptoms, etc). Four enabling techniques such as a Wssln model, a unified similarity measure of CIs, a DM-Tree index and a lightweight privacy-preserving(LPP) scheme are pre- sented to facilitate the Cad processing of the large liver CIs. Ex- tensive experiments demonstrate that our proposed Cad me- thod outperform the state-of-the-art schemes by a large margin in terms of the retrieval accuracy and efficiency, respectively.</t>
  </si>
  <si>
    <t>The rapid advancement in technology has simplified human life and provides convenience. However, this convenience has led to many lifestyle diseases like diabetes and obesity. The 2021 reports of the International Diabetes Federation (IDF) show 537 million diabetics, three-fourths of whom are from developing countries. About 28.5% of these diabetics over 40 suffer from Diabetic Retinopathy (DR), 4.4% face vision-threatening DR, and 3.8% suffer from Diabetic Macular Edema (DME). These conditions can lead to complete vision loss affecting health and quality of life. Early detection of DR and DME is crucial to prevent harmful effects. The proposed work employs a collaborative, privacy-preserving Federated Deep Learning (FDL) framework with lightweight MobileNetV2 architecture for early detection of DR and DME. The proposed FDL framework uses both Independent and Identically Distributed (IID) and non-IID data for 2 and 3-client architectures. In a 2-client scenario, the FDL implementation with FedAvg aggregation achieved 98.69% accuracy on IID data and 87.09% on non-IID data, while FedProx aggregation scored 98.03% on IID data and 98.25% on non-IID data. In a 3-client scenario, FedAvg aggregation achieved 97.62% accuracy on IID data and 96.28% on non-IID data, whereas FedProx aggregation achieved 98.69% on IID data and 97.77% on non-IID data. The results demonstrate that the FedProx aggregation is more stable and converges earlier than FedAvg aggregation in the non-IID settings of an FDL framework. The proposed FDL framework with its collaborative training feature, preserves privacy and maintains high prediction accuracy.</t>
  </si>
  <si>
    <t>Privacy-preserving localization for Internet of Underwater Things (IoUT) plays a fundamental role in the sensing, communication and control of ocean environments. However, the unique characteristics of underwater environment make it much more difficult to achieve such a task. In this article, we are concerned with a privacy-preserving localization issue for IoUT, subjected to asynchronous clock, stratification effect and forging attack in cyber channels. In order to eliminate the influence of asynchronous clock and hide the private position information, we develop a privacy-preserving asynchronous transmission protocol, where a received signal strength (RSS)-based detection strategy is given to detect the malicious anchor nodes. Based on this, a least squares estimator is designed to estimate the position information of target. Particularly, a ray compensation strategy is incorporated into the localization estimator, such that the localization bias from assuming the straight-line transmission can be avoided. It is worth mentioning that, the proposed localization solution in this article can not only hide the private position information, but also eliminate the influences of asynchronous clock, stratification effect and forging attack. Finally, simulation and experiment results are conducted to reveal that the proposed localization solution outperforms the other existing works in terms of localization accuracy and effectiveness.</t>
  </si>
  <si>
    <t>Facial expressions are a crucial aspect of nonverbal communication and often reflect underlying emotional states. Researchers often use facial emotion detection (FED) as a tool to gain insights into cognitive processes, emotional states, and cognitive load. The conventional camera-based methods to sense human emotions are privacy intrusive, lack adaptability, and are sensitive to variability. These technologies have limited generalization and may not adapt well to variations in ambient lighting, facial landmark localization, facial occlusions, and emotion intensity. Radio frequency (RF) sensing offers promising avenues for improvement with contactless, noninvasive, privacy-preserving, and reliable radar-based measurements. The proposed framework uses deep-learning techniques to classify facial micro-Doppler signatures generated from an ultra-wideband (UWB) radar. The method relies on continuous multilevel feature learning from radar time-frequency Doppler measurements. The spatiotemporal facial features are extracted from the radar data to train deep-learning (DL) models. The proposed system achieves a high multiclass classification accuracy of 77% on the continuously streamed data covering basic emotions of anger, disgust, fear, happiness, neutrality, and sadness. The system can transform next-generation multimodal hearing aids with emotion-aware listening effort and cognitive load detection. This can be particularly useful in translating the emotion-assisted cognitive effort for real-time speech enhancement and personalized auditory experience.</t>
  </si>
  <si>
    <t>The demand of sharing video streaming extremely increases due to the proliferation of Internet of Things (IoT) devices in recent years, and the explosive development of artificial intelligent (AI) detection techniques has made visual privacy protection more urgent and difficult than ever before. Although a number of approaches have been proposed, their essential drawbacks limit the effect of visual privacy protection in real applications. In this article, we propose a cycle vector-quantized variational autoencoder (cycle-VQ-VAE) framework to encode and decode the video with its extracted audio, which takes the advantage of multiple heterogeneous data sources in the video itself to protect individualsâ€™ privacy. In our cycle-VQ-VAE framework, a fusion mechanism is designed to integrate the video and its extracted audio. Particularly, the extracted audio works as the random noise with a nonpatterned distribution, which outperforms the noise that follows a patterned distribution for hiding visual information in the video. Under this framework, we design two models, including the frame-to-frame (F2F) model and video-to-video (V2V) model, to obtain privacy-preserving video streaming. In F2F, the video is processed as a sequence of frames; while, in V2V, the relations between frames are utilized to deal with the video, greatly improving the performance of privacy protection, video compression, and video reconstruction. Moreover, the video streaming is compressed in our encoding process, which can resist side-channel inference attack during video transmission and reduce video transmission time. Through the real-data experiments, we validate the superiority of our models (F2F and V2V) over the existing methods in visual privacy protection, visual quality preservation, and video transmission efficiency. The codes of our model implementation and more experimental results are now available at https://github.com/ahahnut/cycle-VQ-VAE.</t>
  </si>
  <si>
    <t>The health status of an elderly person can be identified by examining the additive effects of aging along disease linked to it and can lead to the 'unstable incapacity'. This health status is essentially determined by the apparent decline of independence in Activities of Daily Living (ADLs). Detecting ADLs provide possibilities of improving the home life of elderly people as it can be applied to fall detection systems.. This article looks at Radar images to detect large scale body movements. Using a publicly available Radar spectogram dataset, Deep Learning and Machine Learning techniques are used for image classification of Walking, Sitting, Standing, Picking up Object, Drinking Water and Falling Radar spectograms. The Machine Learning algorithm used were Random Forest, K Nearest Neighbours and Support Vector Machine. The Deep Learning algorithms used in this article were Long Short Term Memory, Bi-directional Long Short-Term Memory and Convolutional Neural Network. In addition to using Machine Learning and Deep Learning on the spectograms, data processing techniques such as Principal Component Analysis and Data Augmentation is applied to the spectogram images. The work done in this article is divided into 4 experiments. The first experiment applies Machine and Deep Learning to the the Raw images data, the second experiment applies Principal Component Analysis to the Raw image Data, the third experiment applies Data Augmentation to the Raw image data and the fourth and final experiment applies Principal Component Analysis and Data Augmentation to the Raw image data. The results obtained in these experiments found that the best results were obtained using the CNN algorithm with Principal Component Analysis and Data Augmentation together to obtain a result of 95.30 % accuracy. Results also showed how Principal Component Analysis was most beneficial when the training data was expanded by augmentation of the available data.</t>
  </si>
  <si>
    <t>Flood prediction is one of the most critical challenges facing today's world. Predicting the probable time of a flood and the area that might get affected is the main goal of it, and more so for a region like Sylhet, Bangladesh where transboundary water flows and climate change have increased the risk of disasters. Accurate flood detection plays a vital role in mitigating these impacts by allowing timely early warnings and strategic planning. Recent advancements in flood prediction research include the development of robust, accurate, and low-cost flood models designed for urban deployment. By applying and utilizing powerful deep learning models show promise in improving the accuracy of prediction and prevention. But those models faced significant issues related to scalability, data privacy concerns and limitations of cross-border data sharing including the inaccuracies in prediction models due to changing climate patterns. To address this, our research adopts the Federated Learning (FL) framework in an effort to train state-of-the-art deep learning models like Long Short-Term Memory Recurrent Neural Network (LSTM-RNN), Feed-Forward Neural Network (FNN) and Temporal Fusion Transformer-Convolutional Neural Network (TFT -CNN) on a 78-year dataset of rainfall, river flow, and meteorological variables from Sylhet and its upstream regions in Meghalaya and Assam, India. This approach promotes data privacy and allows collaborative learning while working under cross-border data-sharing constraints, therefore improving the accuracy of prediction. The results showed that the best-performing FNN model achieved an R-squared value of 0.96, a Mean Absolute Error (MAE) value of 0.02, Percent bias (PBIAS) value of 0.4185 and lower Root Mean Square Error (RMSE) in the FL environment. Explainable AI techniques, such as SHAP, sheds light on the most significant role played by upstream rainfall and river dynamics, particularly from Cherrapunji and the Surma-Kushiyara river system, in driving flood events in Sylhet. These results demonstrate the effectiveness of privacy-preserving and AI-driven methodology implemented. These are being used in improving flood prediction and provide actionable insights for policymakers and disaster management authorities to pave the way toward scalable, transnational strategies that can be applied to mitigate the effects of flooding in vulnerable regions.</t>
  </si>
  <si>
    <t>10.1109/ACCESS.2023.3258400</t>
  </si>
  <si>
    <t>10.1109/TSC.2024.3422835</t>
  </si>
  <si>
    <t>10.1109/ACCESS.2024.3493946</t>
  </si>
  <si>
    <t>10.1109/JIOT.2021.3068298</t>
  </si>
  <si>
    <t>10.1109/TIM.2025.3548782</t>
  </si>
  <si>
    <t>10.1109/JIOT.2021.3089080</t>
  </si>
  <si>
    <t>10.1109/JSEN.2020.3022564</t>
  </si>
  <si>
    <t>10.1109/OJCS.2025.3556424</t>
  </si>
  <si>
    <t>Detectors;Three-dimensional displays;Object detection;Sensors;Automation;Neural networks;Automotive applications;Deep learning;Image analysis</t>
  </si>
  <si>
    <t>Solid modeling;Training;Liver diseases;Diseases;Accuracy;Medical diagnostic imaging;Filtering</t>
  </si>
  <si>
    <t>Training;Data models;Accuracy;Data privacy;Collaboration;Servers;Medical services;Deep learning;Computational modeling;Eye diseases;Detection algorithms;Federated learning;Machine learning</t>
  </si>
  <si>
    <t>Location awareness;Clocks;Privacy;Synchronization;Protocols;Internet of Things;Encryption</t>
  </si>
  <si>
    <t>Radar;Ultra wideband radar;Emotion recognition;Sensors;Hearing aids;Doppler radar;Feature extraction;Radio frequency;Radar detection;Accuracy</t>
  </si>
  <si>
    <t>Streaming media;Privacy;Visualization;Internet of Things;Cryptography;Predictive models;Generative adversarial networks</t>
  </si>
  <si>
    <t>Machine learning;Sensors;Senior citizens;Principal component analysis;Radar imaging;Gray-scale</t>
  </si>
  <si>
    <t>Floods;Data models;Accuracy;Predictive models;Data privacy;Federated learning;Rivers;Computational modeling;Disasters;Climate change;Deep learning;Machine learning;Explainable AI</t>
  </si>
  <si>
    <t>("All Metadata":fairness) AND ("All Metadata":privacy-preserving) OR ("All Metadata":bias) OR ("All Metadata":pedestrian detection)</t>
  </si>
  <si>
    <t>Enhancing Pedestrian Detection Algorithm Based on YOLOv3-ES Network</t>
  </si>
  <si>
    <t>C. Li; Y. Sun</t>
  </si>
  <si>
    <t>Enhancing Safety in Automotive Systems: A Comprehensive Analysis of 77 GHz Radar Performance for Pedestrian and Vehicle Detection</t>
  </si>
  <si>
    <t>A. Usha Rani; A. NagaJyothi; S. Nair</t>
  </si>
  <si>
    <t>A Strategic Framework for Reducing Decision Bias in Driverless Car Object Detection</t>
  </si>
  <si>
    <t>S. Majumdar; S. E. Kirkley</t>
  </si>
  <si>
    <t>Pedestrian Detection Algorithm Based on Improved YOLO v5</t>
  </si>
  <si>
    <t>H. Tang; Z. Li</t>
  </si>
  <si>
    <t>Comparing Crowd Counting and Pedestrian Detection Methods on Social Distance Detection</t>
  </si>
  <si>
    <t>M. Ã‡elik; A. H. Ã–rnek</t>
  </si>
  <si>
    <t>Optimized and Improved YOLOv8 Dense Pedestrian Detection Algorithm</t>
  </si>
  <si>
    <t>J. Mao; H. Wang; D. Li</t>
  </si>
  <si>
    <t>Pedestrian Detection Algorithm Using Local Feature Cascade Classifier in Traffic Scenes</t>
  </si>
  <si>
    <t>L. Liu</t>
  </si>
  <si>
    <t>Pedestrian detection has wide applications but faces challenges such as overlapping pedestrians, bad weather conditions and small targets that strict its performance. To address these issues and enable the broader use of pedestrian detection, this paper proposes an improved detection algorithm called YOLOv3-ES based on YOLOv3. YOLOv3-ES incorporates ECA attention mechanism and SPP-net with YOLOv3. The ECA attention module operates on the three feature maps output by Darknet53, while the SPP-Net operates on the last feature map that has been processed by the ECA attention module. ECA attention mechanism can adaptively select useful features for detection, which helps to improve the detection rate and efficiency to solve the problem of low detection rate posed by overlapping pedestrians and bad weather. SPP-net can enlarge the receptive field through multi-scale maxpooling operations and fusion operations, which helps to improve detection accuracy, especially for small targets that are difficult to detect. Based on the INRIA dataset, the final results of the experiments show that YOLOv3-ES improves mA $P$ by 3.67% over YOLOv3 and detects overlapping pedestrians and small targets better.</t>
  </si>
  <si>
    <t>Automotive radar technology has seen significant advancements in recent years, becoming a pivotal component in enhancing vehicle safety and preventing collisions. This study explores the efficacy of radar systems in detecting both vehicles and pedestrians, focusing on the impact of Radar Cross Section (RCS) on detection accuracy. By examining radars operating at frequencies of 24 GHz and 77 GHz, the research highlights the challenges and solutions in distinguishing between high-RCS targets like vehicles and low-Rcstargets such as pedestrians. The study demonstrates that while 77 GHz radar systems excel in long-range detection of vehicles with high RCS values, their effectiveness in detecting pedestrians is limited by the lower RCS values of these targets. To address this challenge, the research introduces enhancements in radar system configurations, including an expanded azimuth field of view and optimized resolution settings. These modifications significantly improve the detection of pedestrians and other objects that are offset from the radar's primary line of sight. The results emphasize the need for continuous innovation in radar technology to balance long-range vehicle detection with the accurate identification of low-RCS targets. By integrating advanced radar features and refining detection algorithms, the study contributes valuable insights into developing more robust automotive safety systems. This research not only advances the understanding of radar-based collision avoidance but also lays the groundwork for future enhancements in autonomous driving technologies, ultimately aiming to create safer road environments for all users.</t>
  </si>
  <si>
    <t>Bias in machine learning is a significant problem that demands industry-wide attention, and even more so in the case of computer vision applications. The debate is whether autonomous vehicles are safe, yet more likely to strike a pedestrian of color than a person of white skin color. It is essential to obtain a greater understanding of the algorithmic bias that occurs during driving-centric object recognition. This research attempts to understand algorithmic bias that emerges during driving-centric object recognition. This project is opportune since several jurisdictions have recently permitted autonomous cars to run on public roads and several businesses are testing their AVs on public roads, often resulting in a notable number of fatalities. Autonomous systems are vulnerable to algorithmic bias because they do not need an active or passive person to identify and correct such biases. To reduce bias, design and implementation methodologies can be enhanced in accordance with new ethical norms. The aim is to continue efforts to reduce object detection bias that affects autonomous system decision-making to promote safety and increase technology adoption. Autonomous cars must evaluate safe operating options when a collision can't be prevented. This may persist due to the fluidity and unpredictability of human-automobile interactions. Artificial intelligence (AI) systems are biased because to their reliance on data, individuals, and model design. Data bias has been connected to obstacles associated with the deployment of ethical AI and has detrimental effects on underrepresented demographic groups. This study addresses training data bias, algorithmic processing bias, transfer context bias, and interpretation bias. The first two biases relate to the computational aspects of the problem. The latter two relate to the improper deployment of algorithms and autonomous systems. If the training data are condition-specific, the model cannot make precise judgments in the actual world. This research studies and reviews strategies that would mitigate object detection biases in an autonomous vehicle system, specifically whether several simple building blocks used for research-grade pedestrian detection have comparable ability to detect pedestrians with cognitive and physical disabilities.</t>
  </si>
  <si>
    <t>Aiming at the problems such as large scale change and poor detection accuracy, an improved YOLOv5 pedestrian detection algorithm based on drone view was proposed.Firstly, a multi-scale bidirectional feature network structure was proposed to enhance the multi-scale feature detection ability of YOLOv5 network, so as to adapt to pedestrian change detection at different scales.Secondly, a location attention detection layer is established to suppress background interference. Finally, the occlusion screening module is created to screen out the occluded pedestrians and improve the detection accuracy of the algorithm.In order to verify the performance of the algorithm, a comparison experiment is carried out with the existing pedestrian detection algorithm. The experimental results show that compared with the original YOLOv5 algorithm, the algorithm's accuracy is improved by 10.01%, and compared with the YOLOv5-tiny pedestrian detection algorithm, the algorithm's accuracy is improved by 5.74%, which can detect pedestrians well in the perspective of drones.</t>
  </si>
  <si>
    <t>It is very crucial for people to wear masks, personal hygiene and social distance during the pandemic that affects the whole people. In this study, the social distance violation between people was detected by using pedestrian detection approach. Also, pedestrian detection and crowd counting methods were compared. An end-to-end system was built which finds the location of the pedestrian, calculates the distance between pedestrians and detects the social distance violation.</t>
  </si>
  <si>
    <t>In large, densely populated scenarios, abnormal human gatherings are common, and due to the presence of many small-scale occluded pedestrians, missed detections are likely. To tackle this challenge, an improved multi-scale occluded pedestrian detection algorithm based on YOLOv8n is proposed. Firstly, to address the large variation in the scale of occluded pedestrians, the algorithm introduces the lightweight network RepViT to enhance multi-scale features. Next, the GAM attention module is added to improve the representation of multi-scale images and positional information. Finally, to improve the recognition precision for minor targets that are often missed, a small object detection head is introduced, using Inner-WIoUv3 as the loss function to enhance the model's convergence capability. Experimental results show that the improved model achieves enhancements on the public dense pedestrian datasets WiderPerson and CrowdHuman, with mAP50 increasing by 1.8% and 5.1%, and recall rates increasing by 2.2% and 5.5%, respectively. The improved algorithm shows a higher level of detection precision when compared with the baseline model.</t>
  </si>
  <si>
    <t>Aiming at the low recognition rate of pedestrian detection algorithm in traffic scene, this paper designs a pedestrian recognition algorithm based on local feature cascade classifier. The pedestrian candidate area is extracted, and the imaging intensity of the scattered light in the camera sensor is calculated. A local feature cascade classifier is used to segment the image boundary, and the rectangular box whose height is smaller than the height of the HOG window is enlarged to design a pedestrian detection algorithm for traffic scenes. The experimental results show that the average recognition rate of the pedestrian detection algorithm proposed in this paper is 94.764%. The results show that the proposed method can achieve better pedestrian recognition in traffic scenes after introducing local feature cascade classifier.</t>
  </si>
  <si>
    <t>10.1109/IPCV57033.2023.00029</t>
  </si>
  <si>
    <t>10.1109/EDKCON62339.2024.10870779</t>
  </si>
  <si>
    <t>10.1109/IAICT62357.2024.10617839</t>
  </si>
  <si>
    <t>10.1109/ICSP62122.2024.10743933</t>
  </si>
  <si>
    <t>10.1109/UYMS54260.2021.9659743</t>
  </si>
  <si>
    <t>10.1109/CCISP63826.2024.10765506</t>
  </si>
  <si>
    <t>10.1109/IPEC57296.2023.00019</t>
  </si>
  <si>
    <t>YOLOv3;ECA;SPP;pedestrian detection</t>
  </si>
  <si>
    <t>Automotive Radar;Pedestrian Detection;Radar Cross Section (RCS);Long Range Detection;Adaptive Cruise Control;Radar Azimuth Field of View</t>
  </si>
  <si>
    <t>machine learning;autonomous systems;object detection;decision-making bias;algorithmic bias;explainable AI;driverless cars;bias mitigation</t>
  </si>
  <si>
    <t>Drone perspective;Pedestrian detection;Feature fusion;Multi-scale features;Attention detection layer</t>
  </si>
  <si>
    <t>social distance violation detection;deep learning;crowd detection;YOLO;pedestrian detection</t>
  </si>
  <si>
    <t>YOLOv8;Multi-scale Features;Small Object Detection Head;Dense Pedestrian Detection</t>
  </si>
  <si>
    <t>local feature cascade classifier;traffic scenes;pedestrian detection;pedestrian candidate regions;difficult samples;imaging intensity</t>
  </si>
  <si>
    <t>FDENet: Fusion Depth Semantics and Edge-Attention Information for Multispectral Pedestrian Detection</t>
  </si>
  <si>
    <t>X. Liu; X. Xu; J. Xie; P. Li; J. Wei; Y. Sang</t>
  </si>
  <si>
    <t>In recent years, multispectral pedestrian detection as a multimodal solution, using visible light and thermal image multimodal information to solve pedestrian detection challenges in low light environments, plays a crucial role. However, most existing methods directly mix the results of the two modalities or by simply integrating the two modality features. This fusion strategy ignores some features that have specific meaning and are important to the detection problem, and lacks reliable comprehensibility. Drawing inspiration from this insight, in this letter, we propose a pedestrian detection method based on the fusion of multimodal edge information extraction and global semantic consistency, aiming to achieve more full use of edge information-assisted guidance multimodal for accurate fusion detection. We first build an edge attention operation module (EAO) to extract pedestrian edge features, and then introduce a global semantic consistency module (GSC) to make full use of edge features to stimulate guidance modality fusion, and improve the modality consistency between visible light and thermal information. By using challenging KAIST and CVC-14 benchmarks, we observed significant improvements compared to previous state-of-the-art methods. Our proposed method not only outperformed existing techniques but also achieved remarkable accuracy and robustness in the challenging domain of pedestrian detection.</t>
  </si>
  <si>
    <t>10.1109/LRA.2024.3392083</t>
  </si>
  <si>
    <t>Deep learning for visual perception;multispectral pedestrian detection;edge feature</t>
  </si>
  <si>
    <t>Enhancing Pedestrian Group Detection and Tracking Through Zone-Based Clustering</t>
  </si>
  <si>
    <t>M. Chen; S. Banitaan; M. Maleki</t>
  </si>
  <si>
    <t>Advancements in self-driving car technology have the potential to revolutionize transportation by enhancing safety, efficiency, and accessibility. Nonetheless, the successful integration of autonomous vehicles into our urban landscapes necessitates robust and reliable pedestrian detection and tracking systems. As we frequently observe pedestrians moving together, tracking them as a group becomes a beneficial approach, mitigating occlusion and enhancing both the accuracy and speed of object detection and tracking. However, utilizing a human-view camera in an autonomous vehicle presents challenges as pedestrians occupy varied fields of view. In some instances, pedestrians closer to the camera may overlap with those farther away, as seen from the cameraâ€™s viewpoint, which causes the mis-groupings to happen. To address these challenges, we proposed a strategy to divide the image into distinct zones and perform grouping within each, significantly minimizing mis-groupings. First, an object detection method extracted pedestrians and their bounding boxes from an image. Second, zone detection was applied to separate the image into several zones. Third, clustering methods were applied to detect pedestrian groups within each zone. Last, the object tracking method was utilized to track pedestrian groups. We repeated the process over a ten-frame sequence to achieve better performance, with object detection executed in the first frame and object tracking in the remaining nine frames. The comparison of processing times of different group detection methods indicated that tracking pedestrian groups is more time-efficient than tracking individuals and achieved a 4.5% to 14.1% improvement. Furthermore, according to the Adjusted Rand Index (ARI) evaluation metric, our proposed zone-based group detection method outperforms the other commonly used approaches by achieving scores of 0.635 on the MOT17 dataset and 0.781 on the KITTI dataset. In addition, the proposed approach surpasses the other approaches in addressing scenarios where individuals from different fields of view intersect with each other.</t>
  </si>
  <si>
    <t>10.1109/ACCESS.2023.3336592</t>
  </si>
  <si>
    <t>DBSCAN;K-means;object detection;object tracking;zone-based group detection</t>
  </si>
  <si>
    <t>Fully Synthetic Pedestrian Anomaly Behavior Dataset Generation in Metaverse for Enhancing Autonomous Driving Object Detection</t>
  </si>
  <si>
    <t>N. Htet Htet Aung; P. Sangwongngam; R. Jintamethasawat; L. Wuttisittikulkij</t>
  </si>
  <si>
    <t>Pedestrian detection is fundamental in the realm of autonomous driving, relying on comprehensive datasets for accurate deep-learning methods. Detecting diverse pedestrian behaviors, including rare and near-accident cases, is necessary, however, there were limitations in the development of such specific datasets. Furthermore, involving humans in data collection is risky and raises privacy concerns since recording and storing data necessitates explicit consent from all participants. To tackle this challenge, we propose MetaPed, a synthetic pedestrian dataset generated from the Metaverse, where the avatars can represent a wide range of pedestrian behaviors without exposing real individuals to potential harm or privacy violations. Our Metaverse includes both programmed pedestrian behaviors and controllable avatar movements and interactions, ensuring a comprehensive and realistic representation of pedestrian actions. To validate and ensure the generalization capabilities of our synthetic datasetâ€™s performance in real-world scenarios, we perform both cross-dataset and intra-dataset evaluations on comprehensive real-world datasets, including KITTI, Citypersons, and INRIA Person. Our experiments demonstrate that the network trained on our synthetic dataset exhibits robust generalization capabilities for unseen real-world situations and our datasetâ€™s inclusion significantly enhanced the Average Precision (AP) and Average Recall (AR) of the pedestrian detection model. For cross-dataset validation, we generally observe improvements in both AP and AR with models trained on all datasets. The inclusion of our dataset also improves the intra-dataset validation of the INRIA Person dataset, where the AP and AR values increase from 0.958 to 0.988 and AR from 0.697 to 0.725, respectively. For Citypersons and KITTI datasets, the AP values increase from 0.630 to 0.639 and 0.745 to 0.752, respectively. The model training on our dataset achieved the highest AP and AR values across all test datasets and the second-highest AP observed when tested on Citypersons.</t>
  </si>
  <si>
    <t>10.1109/ACCESS.2024.3495505</t>
  </si>
  <si>
    <t>Autonomous vehicles (AVs);deep learning;pedestrian detection;pedestrian anomaly behaviors;synthetic dataset;metaverse;dataset validation</t>
  </si>
  <si>
    <t>Pedestrian Detection Method Based on FCOS-DEFPN Model</t>
  </si>
  <si>
    <t>F. Chen; X. Gu; L. Gao; J. Wang</t>
  </si>
  <si>
    <t>Automatic driving technology has high accuracy and real-time requirements for pedestrian identification and localization. Pedestrian detection is a basic and necessary function in vision-based pedestrian detection systems and collision warning, which can effectively avoid traffic accidents and improve road driving safety to a certain extent. In this paper, a lightweight solution based on the FCOS-DEFPN model is proposed for real-time pedestrian detection. Based on the FCOS model, this paper proposes the FCOS-DEFPN model, which achieves the lightweight of the network by replacing the ResNet50 backbone network with the MobilenetV3 network and using the depth separable convolution instead of the ordinary convolution for parameter compression. While maintaining the detection accuracy, this paper introduces data enhancement methods such as Random Erasing and Morsia to simulate pedestrian occlusion and small target scenarios to improve the robustness of the model. For the pedestrian occlusion scenario, this paper introduces a lightweight attention network ECA, which helps to extract pedestrian features better. For small-target multi-scale pedestrians, the DEFPN feature pyramid network is proposed, which acquires feature information at multiple scales by attentional fusion of feature layers at different scales from top-down, bottom-up, and front-back. The experimental results show that the proposed model is enhanced in terms of detection accuracy for occluded and small-target pedestrians, and satisfies real-time pedestrian detection under the premise of robustness in complex scenes.</t>
  </si>
  <si>
    <t>10.1109/ACCESS.2024.3434987</t>
  </si>
  <si>
    <t>Automatic driving;pedestrian detection;full convolutional one-stage target detection;small target detection;occlusion detection</t>
  </si>
  <si>
    <t>Realtime Multispectral Pedestrian Detection With Visible and Far-Infrared Under Ambient Temperature Changing</t>
  </si>
  <si>
    <t>M. Okuda; K. Yoshida; T. Fujino</t>
  </si>
  <si>
    <t>In recent intelligent transportation systems (ITS), it is important to recognize pedestrians and avoid collisions. Various sensors are used to detect pedestrians, and some research on pedestrian detection uses a visible light (RGB) camera and a far-infrared (FIR) camera. FIR cameras are significantly affected by ambient temperatures such as summer and winter. However, few studies have focused on this property when evaluating pedestrian detection accuracy. Therefore, this paper investigates the effect of temperature change in real-time multispectral pedestrian detection. We created an original dataset with three subsets, Hot, Intermediate, and Cold, and evaluated temperature effects by changing the subsets during training and testing. We first evaluated YOLOv8s-4ch, which simply extended the input layer of YOLOv8 from 3 channels of RGB to 4 channels of RGB-FIR. To further improve detection performance, we built a new model called YOLOv8s-2stream. This model has two backbones for RGB and FIR, and fuses their feature maps in each resolution. We found that the model trained on a specific temperature subset dropped the test accuracy in other subsets. On the other hand, when training using a Mix set covering all temperature sets (Hot, Inter., Cold), the model achieved the highest accuracy through all conditions. Moreover, our YOLOv8s-2stream has improved by 3.9 points of accuracy (AP@0.5:0.95) compared to YOLOv8s-4ch, and achieved 73 FPS inference speed on Jetson.</t>
  </si>
  <si>
    <t>10.1109/OJITS.2024.3507917</t>
  </si>
  <si>
    <t>Object detection;pedestrian detection;deep learning;far-infrared;sensor fusion</t>
  </si>
  <si>
    <t>YOLO-ACE: A Vehicle and Pedestrian Detection Algorithm for Autonomous Driving Scenarios Based on Knowledge Distillation of YOLOv10</t>
  </si>
  <si>
    <t>Y. Xie; D. Du; M. Bi</t>
  </si>
  <si>
    <t>Vehicle and pedestrian detection are critical tasks in autonomous driving, and fast and accurate detection algorithms are of great significance for improving the safety and reliability of autonomous driving systems. This article proposes an improved YOLOv10 algorithm, YOLO-ACE, based on knowledge distillation for vehicle and pedestrian detection in autonomous driving scenarios. First, a new additive-convolutional gated linear unit (Add-CGLU) architecture is developed to replace the original C2f module in the backbone part. Then, a new feature pyramid shared conv (FPSC) module is proposed to optimize the original SPPF module. After that, the neck part is redesigned to propose a new Efficient multibranch scale (EMBS) pyramid network. Finally, a new double distillation (DD) strategy is customized to perform knowledge distillation on the overall model. Experimental results on the public dataset BDD100K show that the computational parameters of YOLO-ACE are reduced by 21.6%, FLOPs are reduced by 20.0%, and the model size is reduced by 19.5%. At the same time, the F1 Score increased by 4.9%, the mAP increased by 4.5%, and the running speed reached 70.9 FPS. YOLO-ACE provides a more efficient vehicle and pedestrian detection solution in autonomous driving scenarios, promoting further development of autonomous driving systems.</t>
  </si>
  <si>
    <t>10.1109/JIOT.2025.3569735</t>
  </si>
  <si>
    <t>Additive-convolutional gated linear unit module (Add-CGLU);efficient multibranch scale pyramid network (EMBS);feature pyramid shared Conv module (FPSC);knowledge distillation;vehicle and pedestrian detection;YOLOv10</t>
  </si>
  <si>
    <t>From Handcrafted to Deep Features for Pedestrian Detection: A Survey</t>
  </si>
  <si>
    <t>J. Cao; Y. Pang; J. Xie; F. S. Khan; L. Shao</t>
  </si>
  <si>
    <t>Pedestrian detection is an important but challenging problem in computer vision, especially in human-centric tasks. Over the past decade, significant improvement has been witnessed with the help of handcrafted features and deep features. Here we present a comprehensive survey on recent advances in pedestrian detection. First, we provide a detailed review of single-spectral pedestrian detection that includes handcrafted features based methods and deep features based approaches. For handcrafted features based methods, we present an extensive review of approaches and find that handcrafted features with large freedom degrees in shape and space have better performance. In the case of deep features based approaches, we split them into pure CNN based methods and those employing both handcrafted and CNN based features. We give the statistical analysis and tendency of these methods, where feature enhanced, part-aware, and post-processing methods have attracted main attention. In addition to single-spectral pedestrian detection, we also review multi-spectral pedestrian detection, which provides more robust features for illumination variance. Furthermore, we introduce some related datasets and evaluation metrics, and a deep experimental analysis. We conclude this survey by emphasizing open problems that need to be addressed and highlighting various future directions. Researchers can track an up-to-date list at https://github.com/JialeCao001/PedSurvey.</t>
  </si>
  <si>
    <t>10.1109/TPAMI.2021.3076733</t>
  </si>
  <si>
    <t>Pedestrian detection;handcrafted features based methods;deep features based methods;multi-spectral pedestrian detection</t>
  </si>
  <si>
    <t>K-Means Clustering With Local dáµª-Privacy for Privacy-Preserving Data Analysis</t>
  </si>
  <si>
    <t>M. Yang; I. Tjuawinata; K. -Y. Lam</t>
  </si>
  <si>
    <t>OptiSGD-DPWGAN: Integrating Metaheuristic Algorithms and Differential Privacy to Improve Privacy-Utility Trade-Off in Generative Models</t>
  </si>
  <si>
    <t>A. Ahmed Mohamed; Y. N. M. Saleh; A. A. Abdel-Hamid</t>
  </si>
  <si>
    <t>An Optimized Privacy-Utility Tradeoff Framework for Differentially Private Data Sharing in Blockchain-Based Internet of Things</t>
  </si>
  <si>
    <t>M. Islam; M. H. Rehmani; L. Gao; J. Chen</t>
  </si>
  <si>
    <t>Robust Privatization With Multiple Tasks and the Optimal Privacy-Utility Tradeoff</t>
  </si>
  <si>
    <t>T. -Y. Liu; I. -H. Wang</t>
  </si>
  <si>
    <t>Robust and Secure Federated Learning With Verifiable Differential Privacy</t>
  </si>
  <si>
    <t>C. Zhang; J. Weng; J. Weng; Y. Zhong; J. -N. Liu; C. Deng</t>
  </si>
  <si>
    <t>Privacy-preserving data analysis is an emerging area that addresses the dilemma of performing data analysis on user data while protecting usersâ€™ privacy. In this paper, we consider the problem of constructing privacy-preserving  $K$ -means clustering protocol for data analysis that provides local privacy to usersâ€™ data. To enable a desirable degree of local privacy guarantee while maintaining high accuracy of the clustering, we adopt a generalized differential privacy definition,  ${d}_{\chi} $ -privacy, which quantifies the distinguishability level based on the distance between data records defined by the distance function  ${d}_{\chi} $ . In our work, we consider the space of data points as a metric space imbued with Euclidean distance and propose a bounded perturbation mechanism (BPM) with bounded sampling space of the perturbed data points, which is formally shown to achieve  ${d}_{\chi} $ -privacy. BPM perturbs the data as a whole instead of treating each dimension independently, which is desirable since the privacy budget is no longer required to be split among different dimensions. Bounded output space also means that we will not get into the case where the report or the statistical result is so far out of the data domain that it is hard to interpret. Furthermore, it can also help in limiting the amount of bandwidth needed to send such report to the server. The design of BPM is based on a probability density function which decreases exponentially as the Euclidean distance with respect to the true value grows. It is also designed with the aim of ensuring that BPM produces perturbed data that provides the claimed privacy guarantee while ensuring high utility response. To guarantee the efficiency of the perturbation method, we propose an efficient algorithm to sample from the proposed distribution and apply BPM to the design of  ${d}_{\chi} $ -private  $K$ -means clustering algorithms. Lastly, we analyse the privacy and utility guarantee provided by the proposed method and provide its experimental results.</t>
  </si>
  <si>
    <t>Recently, the necessity to balance model performance with data confidentiality in synthetic data generation has become a significant challenge in deep learning analysis of medical databases. In this paper, the OptiSGD-DPWGAN model is proposed, that incorporates metaheuristic algorithms and differential privacy into the Wasserstein Generative Adversarial Network (WGAN) architecture to protect sensitive data during the training process. The integration of Simulated Annealing and Backtracking Line Search with Stochastic Gradient Descent (SGD) optimizes the exploration of the solution space of complex parameters in non-convex deep learning models, significantly avoiding local minima. In differentially private synthetic data generation, adjusting the epsilon value critically influences the trade-off between preserving privacy and maintaining the utility of the data. Typically, a lower epsilon value strengthens privacy guarantees but can inversely affect the modelâ€™s effectiveness due to increased noise in the data processing. Empirical results demonstrate that OptiSGD-DPWGAN effectively mitigates this trade-off. Compared to other schemes, OptiSGD-DPWGAN consistently achieves lower privacy costs without compromising the quality of the synthetic data generated. These results not only show the capability of OptiSGD-DPWGAN to set a new standard in privacy-preserving synthetic data generation but also highlight its potential to generate high-quality synthetic data crucial for the medical domain which requires strict confidentiality and high precision.</t>
  </si>
  <si>
    <t>Differential private (DP) query and response mechanisms have been widely adopted in various applications based on Internet of Things (IoT) to leverage variety of benefits through data analysis. The protection of sensitive information is achieved through the addition of noise into the query response which hides the individual records in a dataset. However, the noise addition negatively impacts the accuracy which gives rise to privacy-utility tradeoff. Moreover, the DP budget or cost  $\epsilon $  is often fixed and it accumulates due to the sequential composition which limits the number of queries. Therefore, in this article, we propose a framework known as optimized privacy-utility tradeoff framework for data sharing in IoT (OPU-TF-IoT). First, OPU-TF-IoT uses an adaptive approach to utilize the DP budget  $\epsilon $  by considering a new metric of population or dataset size along with the query. Second, our proposed heuristic search algorithm (HSA) reduces the DP budget accordingly whereas satisfying both data owner and data user. Third, to make the utilization of DP budget transparent to the data owners, a blockchain-based verification mechanism is also proposed. Finally, the proposed framework is evaluated using real-world datasets and compared with the traditional DP model and other related state-of-the-art works. The results demonstrate that our proposed framework not only utilizes the DP budget  $\epsilon $  efficiently, but also optimizes the number of queries by 49% and 54% on average compared to state-of-the-art and standard DP models, respectively. Furthermore, the data owners can effectively make sure that their data are shared accordingly through our blockchain-based verification mechanism which encourages them to share their data into the IoT system.</t>
  </si>
  <si>
    <t>In this work, fundamental limits and optimal mechanisms of privacy-preserving data release that aims to minimize the privacy leakage under utility constraints of a set of multiple tasks are investigated. While the private feature to be protected is typically determined and known by the sanitizer, the target task is usually unknown. To address the lack of information on the specific task, utility constraints laid on a set of multiple possible tasks are considered. The mechanism protects the specific privacy feature of the to-be-released data while satisfying utility constraints of all possible tasks in the set. First, the single-letter characterization of the rate-leakage-distortion region is derived, where the utility of each task is measured by a distortion function. It turns out that the minimum privacy leakage problem with log-loss distortion constraints and the unconstrained released rate is a non-convex optimization problem. Second, focusing on the case where the raw data consists of multiple independent components, we show that the above non-convex optimization problem can be decomposed into multiple parallel privacy funnel (PF) problems with different weightings. We explicitly derive the optimal solution to each PF problem when the private feature is a component-wise deterministic function of a data vector. The solution is characterized by a leakage-free threshold: when the utility constraint is below the threshold, the minimum leakage is zero; once the required utility level is above the threshold, the privacy leakage increases linearly. Finally, we show that the optimal weighting of each privacy funnel problem can be found by solving a linear program (LP). A sufficient released rate to achieve the minimum leakage is also derived. Numerical results are shown to illustrate the robustness of our approach against the task non-specificity.</t>
  </si>
  <si>
    <t>Federated Learning (FL) has emerged as a popular paradigm for training machine learning models on data from multiple sources without the need for data to leave their respective locations. Although FL is widely used, recent research indicates its vulnerability to data privacy breaches and Byzantine attacks. Addressing both threats simultaneously remains challenging, as previous defense mechanisms struggle to balance Byzantine resilience, data privacy, and training accuracy. Although combining Differential Privacy (DP) with Byzantine-resilience in FL offers potential solutions, it presents challenges due to theoretical incompatibilities that can impact the performance of large-scale models. Addressing this underexplored challenge, we propose a novel approach that enhances privacy and Byzantine-resilient in FL while maintaining training accuracy. Our method integrates DP with Byzantine-resilience techniques, overcoming the limitations of existing methods that often sacrifice accuracy or even Byzantine resistance. Our experiments carefully analyze the impact of DP noise on training accuracy and Byzantine-resilience, guiding appropriate parameter selection. The experimental results demonstrate that our approach achieves superior global model accuracy compared to previous competitive methods, even with strong privacy constraints.</t>
  </si>
  <si>
    <t>10.1109/TIFS.2022.3189532</t>
  </si>
  <si>
    <t>10.1109/ACCESS.2024.3502909</t>
  </si>
  <si>
    <t>10.1109/JIOT.2025.3530247</t>
  </si>
  <si>
    <t>10.1109/TIT.2024.3452105</t>
  </si>
  <si>
    <t>10.1109/TDSC.2025.3574745</t>
  </si>
  <si>
    <t>Differential privacy;K-means clustering;dáµª-privacy</t>
  </si>
  <si>
    <t>Differential privacy;deep learning;generative adversarial network;privacy-utility tradeoff;stochastic gradient descent</t>
  </si>
  <si>
    <t>Blockchain;data sharing;differential privacy;Internet of Things (IoT);privacy-utility tradeoff</t>
  </si>
  <si>
    <t>Privacy;privacy-utility tradeoff;privacy funnel</t>
  </si>
  <si>
    <t>Secure federated learning (FL);Byzantine-resilient;differential privacy (DP)</t>
  </si>
  <si>
    <t>("Document Title":pedestrian detection) AND ("Full Text &amp; Metadata":privacy-accuracy balance) OR ("Full Text &amp; Metadata":privacy-utility tradeoff) OR ("Full Text &amp; Metadata":privacy preserving)</t>
  </si>
  <si>
    <t>FAIR-PED: Fairness Evaluation in Pedestrian Detection Using CLIP</t>
  </si>
  <si>
    <t>M. Khoshkdahan; N. KjÃ¤r; F. B. Flohr</t>
  </si>
  <si>
    <t>Beyond safety considerations for pedestrians in autonomous driving, fairness in detection promotes societal acceptance and builds public trust. This work introduces FAIR-PED, a novel framework to examine the impact of pedestrian visual attributes on the fair performance of ML-based detection models. The attribute labels are automatically generated using a pedestrian attribute recognition method that leverages contrastive language-image pretraining (CLIP) models, requiring little to no manual annotation. Over 100 pretrained CLIP models are evaluated based on recall balance and accuracy. The ECP dataset is automatically labeled using the best-performing CLIP model for selected attributes. Bootstrap resampling is employed to validate the results. Fairness is measured using the Equal Opportunity Difference (EOD) metric, which compares the recall rates of subgroups. Evaluations reveal detection rate differences across attributes, with insignificant biases toward women and pedestrians carrying bags (EOD = âˆ’1.12% and âˆ’0.34%, respectively) and a significantly lower detection rate for laterally viewed pedestrians (EOD = +4.65%). Since people crossing the road are often seen as laterally viewed pedestrians, the consistent presence of view bias across all detectors is particularly concerning.</t>
  </si>
  <si>
    <t>10.1109/IV64158.2025.11097691</t>
  </si>
  <si>
    <t>Research on quantitative evaluation method of teachers based on multiple linear regression</t>
  </si>
  <si>
    <t>L. Yang</t>
  </si>
  <si>
    <t>According to the nature of multiple linear regression evaluation method, the quantitative evaluation method of teachers is divided into quantitative evaluation method and qualitative evaluation method. On the basis of meta linear regression, the quantitative evaluation method of teachers' teaching is standardized, and the quantitative evaluation standard of teachers is designed. A spiral dynamic evaluation process of "data collection evaluation feedback" is formed by collecting and combining the evaluation information method with the expectation evaluation and grade evaluation standard. Combined with the multiple linear regression algorithm, the quantitative evaluation criteria and evaluation index of teachers are calculated To identify, identify and differentiate the main functions of quantitative evaluation of teachers, teaching effect of high teachers, targeted evaluation and improvement of teaching methods and models.</t>
  </si>
  <si>
    <t>10.1109/ICMTMA52658.2021.00196</t>
  </si>
  <si>
    <t>UATTA-QSM: Uncertainty-Aware Test Time Adaptation for Improved Quantitative Susceptibility Mapping</t>
  </si>
  <si>
    <t>H. Ravishankar; N. Paluru; P. Sudhakar; P. K. Yalavarthy</t>
  </si>
  <si>
    <t>This work addresses the problem of deriving improved quantitative susceptibility mapping (QSM) from magnetic resonance (MR) acquisitions. Deep learning based models that map measured MR local phase field to QSM maps, have recently demonstrated satisfactory reconstruction quality. However, they suffer from poor generalization on acquisitions that deviate from training settings. To address this, this work proposes a patient-specific, test-time adaptation method for modifying pre-trained deep learning models, conditioned on individual subject data. The proposed method of uncertainty-aware test-time adaptation (UATTA-QSM), for the first-time introduces, lipschitz constraints on local phase field measurements and QSM reconstructions to jointly reduce uncertainty and adapt model weights during inference time with functional regularization. This framework was evaluated on multiple adaptation scenarios like changing field strength, limited data training and different architectures. On unseen datasets, the proposed method of UATTA-QSM consistently demonstrates performance improvement on all metrics of interest.</t>
  </si>
  <si>
    <t>10.1109/ISBI60581.2025.10980951</t>
  </si>
  <si>
    <t>A New Quantitative Evaluation Method for Flexible Load Energy Conservation Potential of Power System Based on Random Forest Algorithm</t>
  </si>
  <si>
    <t>L. Fan; D. Ming; W. You; S. Zhou; W. Liu; Y. Dong; X. Huang; J. Chen</t>
  </si>
  <si>
    <t>Development and Quantitative Evaluation of a Novel Autonomous In Situ Bioprinting Surgical Robotic Framework for Treatment of Volumetric Muscle Loss Injuries</t>
  </si>
  <si>
    <t>S. Yang; H. Kim; O. Rezayof; J. Bonyun; J. V. John; M. R. Dokmeci; A. Khademhosseini; F. Alambeigi</t>
  </si>
  <si>
    <t>The response potential of power system is difficult to quantify accurately. In order to improve the effectiveness of its quantitative evaluation results, a new quantitative evaluation method of flexible load response potential of power system based on random forest algorithm is proposed. The flexible load model of power system considering user demand is constructed, the function expression of fuzzy rules is obtained through the fuzzy subset of user power load, and the objective function of flexible load of power system is set; The response potential factor of flexible load is calculated based on random forest algorithm. According to the mean value of offset uncertainty and the result of node splitting and updating, the response potential factor under different electricity price indexes and power load is obtained; The quantitative evaluation algorithm of power load impact potential is designed, the comprehensive evaluation indexes are calculated and recorded, and a new quantitative evaluation method of response potential is obtained. The quantitative results obtained from the experiment are consistent with the actual indicators, which shows that the quantitative evaluation method has good accuracy and good practical application effect.</t>
  </si>
  <si>
    <t>In situ bioprinting has been identified as a promising tissue engineering technique for treating volumetric muscle loss (VML) injuries. However, the success of this procedure significantly depends on the uniform and precise deposition of cells contributing to the regeneration of muscles. To address this critical need, in this work, we present design and quantitative evaluation of a novel autonomous in situ bioprinting surgical robotic framework that can be used with a generic bioprinting material. The proposed framework consists of three main components: (i) a bioprinting tool integrated with a seven-degree-of-freedom robotic manipulator to perform a precise autonomous bioprinting procedure; (ii) a unique 3D visual measurement framework comprised of a high-accuracy structured light camera with complementary 2D/3D computer vision algorithms- to enable online and accurate measurement and reconstruction of the bioprinted constructs; and (iii) a quantitative evaluation module with novel assessment metrics- to characterize and evaluate the performance of the bioprinting process toward finding optimal bioprinting parameters. To ensure the biological functionality of a printed construct using our robotic system, we performed 90 experiments and identified optimal bioprinting parameters using the proposed novel assessment metrics. Note to Practitionersâ€”This paper was motivated by the problem of volumetric muscle loss treatment using an in situ bioprinting procedure but it also can be applied for treatment of skin and cartilage injuries. Existing approaches to perform in situ bioprinting is limited to either manual handheld bioprinting devicesâ€“ that suffer from poor manual control and inaccurate printing constructsâ€“ or robotic systemsâ€“ that have been developed without (i) considering a realistic surgical workflow and (ii) quantitatively evaluating the quality of printed constructs. To collectively address these issues, in this paper, we propose a novel autonomous in situ robotic bioprinting framework. We also introduce unique and complementary quantitative assessment metrics to characterize and evaluate the performance of the bioprinting process. Experiments suggest that the proposed framework can robustly identify optimal bioprinting parameters to ensure the biological functionality of a printed construct using our robotic system.</t>
  </si>
  <si>
    <t>10.1109/ICPE59729.2023.10468796</t>
  </si>
  <si>
    <t>10.1109/TASE.2024.3382200</t>
  </si>
  <si>
    <t>Accuracy and Fairness in Pupil Detection Algorithm</t>
  </si>
  <si>
    <t>O. N. Kulkarni; V. Patil; V. K. Singh; P. K. Atrey</t>
  </si>
  <si>
    <t>Despite being highly accurate, widely used multimedia analysis algorithms can suffer from bias, affecting usersâ€™ trust in them. For instance, algorithms for face recognition, pedestrian detection, and image search have recently been reported to be biased. In this paper, we move the discussion on algorithmic fairness to a new domain, namely, pupil detection. We audit a widely used OpenCV algorithm for pupil detection from the perspective of fairness and accuracy. The algorithm is audited using two different datasets: a single-person image dataset (CelebA), and a group image dataset (Images of Groups). In both datasets, we found the OpenCV pupil detection algorithm to provide reasonably high accuracy but also yield statistically significant bias with respect to gender. The results provide the first empirical evidence for the existence of gender bias in pupil detection algorithms in both single person as well as group image settings. These results could have a deleterious impact on downstream multimedia applications such as identity authentication, attention assessment, and e-learning. Finally, we discuss the process of appropriately choosing the pupil detection algorithm parameters that may help reduce bias while maintaining high accuracy in various multimedia applications.</t>
  </si>
  <si>
    <t>10.1109/BigMM52142.2021.00011</t>
  </si>
  <si>
    <t>Measurement;Hands;Visualization;Pedestrians;Law;Roads;Pipelines;Detectors;Manuals;Safety</t>
  </si>
  <si>
    <t>multiple linear regression;quantitative evaluation of teachers;teaching evaluation</t>
  </si>
  <si>
    <t>Quantitative Susceptibility Mapping;Inverse Problems;Uncertainty Modeling;Test Time Adaptation</t>
  </si>
  <si>
    <t>Random forest algorithm;New power system;Flexible load;Energy-saving potential;Quantitative evaluation method</t>
  </si>
  <si>
    <t>Surgical robotics;in situ robotic bioprinting;autonomous bioprinting framework;quantitative bioprinting evaluation</t>
  </si>
  <si>
    <t>Algorithms;Accuracy;Algorithmic Fairness;Face Detection;Gaze Tracking;Computer Vision;Pupil Detection;Machine Learning;Statistical Analysis</t>
  </si>
  <si>
    <t>("Full Text &amp; Metadata":quantitative framework) OR ("Full Text &amp; Metadata":evaluation framework) AND ("All Metadata":fairness) AND ("All Metadata":pedestrian detection)</t>
  </si>
  <si>
    <t>Narrative-Based AI Ethics Education for Emerging Technologies: Leveraging â€˜The Monkey's Pawâ€™ for AI Alignment and Social Justice</t>
  </si>
  <si>
    <t>J. Lee</t>
  </si>
  <si>
    <t>Implementing AI Ethics in the Design of AI-assisted Rescue Robots</t>
  </si>
  <si>
    <t>D. Martin; M. W. Schmidt; R. Hillerbrand</t>
  </si>
  <si>
    <t>Perceptions of AI Ethics on Social Media</t>
  </si>
  <si>
    <t>A. Ocal</t>
  </si>
  <si>
    <t>A Bibliometric View of AI Ethics Development</t>
  </si>
  <si>
    <t>D. K. Gao; A. Haverly; S. Mittal; J. Chen</t>
  </si>
  <si>
    <t>Bridging Industry, Government, and Academia for Socially Responsible AI: The CSEAI Initiative</t>
  </si>
  <si>
    <t>P. Rivas; J. Ortiz; D. A. DÃ­az-PachÃ³n; L. N. Montoya</t>
  </si>
  <si>
    <t>Methodological Reflections on Designing Surveys to Explore Faculty and Administrator Perceptions of AI Ethics Education</t>
  </si>
  <si>
    <t>K. Shiekh; C. Geraci; D. Mower; G. Miller; Q. Zhu</t>
  </si>
  <si>
    <t>Ethics of AI as practical ethics</t>
  </si>
  <si>
    <t>F. Richter</t>
  </si>
  <si>
    <t>The rise of autonomous AI agents introduces complex ethical concerns, particularly regarding value alignment, unintended consequences, and system accountability. Despite these growing risks, AI ethics remains underemphasized in many technical education programs. This paper proposes an original narrative-based instructional model using W. W. Jacobs's The Monkey's Paw (1902) to address key concepts in AI ethics and responsible innovation. The story's brevity, metaphorical richness, and public availability make it a practical resource for stimulating discussion around AI alignment and social impact. A classroom strategy is outlined to demonstrate how narrative tools can complement technical learning and promote ethical reflection among future developers and users.</t>
  </si>
  <si>
    <t>For implementing ethics in AI technology, there are at least two major ethical challenges. First, there are various competing AI ethics guidelines and consequently there is a need for a systematic overview of the relevant values that should be considered. Second, if the relevant values have been identified, there is a need for an indicator system that helps assessing if certain design features are positively or negatively affecting their implementation. This indicator system will vary with regard to specific forms of AI technology. An adequate indicator system for the ethical development of recommendation algorithms, for example, will diverge considerably from another for autonomous road vehicles, although both are based on shared values. In this contribution, we propose solutions to both challenges with regard to the special case of the development of an AI-assisted rescue robot.</t>
  </si>
  <si>
    <t>Since the emergence of Artificial intelligence (AI), despite a common expectation that AI should be â€˜ethicalâ€™ [1], there are many different interpretations, assumptions, and expectations about what constitutes "ethical AI" and which ethical problems and requirements are pointed out by the public. Even though many private companies and research institutions have highlighted present and possible future problems, needs, and guidelines associated with AI ethics, relevant public visions regarding how "ethical AI" can be constituted [1] have not been explored sufficiently. For obtaining public opinions, although questionnaires and interviews are commonly used, the questions in these methods are designed based on only the researchers' preferences, and this could be a limitation. Social media data, however, are produced by users freely [2], and many people share their ideas in social media discussions [3]. Social media data usage, therefore, has been growing in various research studies. Researchers intending to utilize social media as a data source predominantly harness Twitter data, yet in recent years Reddit has also gained the attention of scholars with the same research purpose, as in [2], [3]. Reddit is a huge social media platform involving over 50 million daily active users with diverse mentalities shaped by different backgrounds, prior beliefs, personal experiences, and personalities, from various geographical locations, and 100 thousand active communities, thereby it brings different segments of the public together. Moreover, users benefit from a level of anonymity on Reddit not typically accomplished on other social media platforms [4], thereby users may feel more secure and share more honest thoughts on a topic, thus the Reddit data have been used to gather public opinions in prior research as in [3]. Through the lens of technological frames [5], to explore social media users' interpretations, assumptions, and expectations about how ethical AI is built, and which problems hinder building ethical AI, Reddit conversations were analyzed. More specifically, a corpus consisting of 998 unique Reddit post titles and their corresponding 16611 comments extracted from 15 AI-related subreddits were identified by using topic modelling supported by human judgment for frame identification as in [6] based on BERTopic [7]. The findings show that perceptions about AI ethics are clustered around several themes (AI's gender bias; humans' gender bias about perceived gender of bots; regulation and patent laws related to AI use; AI spreading disinformation; AI making fake faces, videos, music; misuse of personal data; and AI impact on crime), with deviations about how these themes are interpreted, what problems or actors they pertain to, and what appropriate measures should be taken to address problems pointed out by the public. While some of these ethical issues were also highlighted in prominent AI ethics literature as in [8], the findings of this study indicated new insights such as humans' gender bias about the perceived gender of bots. The findings offer important implications. First, as a practical implication, the findings can enrich current public voice-centric explorations of AI ethics. Also, they could help designing suitable interfaces that allow proper human-AI task coordination and collaboration and deploying innovative solutions for existing or anticipated ethical problems. Second, expected outcomes can demonstrate areas where misconceptions and unrealistic visions about AI ethics are widespread, which may trigger speculative fears or concerns. Researchers may be encouraged to more focus on the areas where public misconceptions are more common; educational programs may be arranged to reduce speculative fears or concerns or take necessary measures for real ethical risks. Academia, industry and government communities may collaborate for research and policy arrangements in those areas. Third, through employing computeraided textual analysis, this study reveals frames in social media conversations to showcase the latest perceptions from different viewpoints. This method may be an example method for relevant future research.</t>
  </si>
  <si>
    <t>Artificial Intelligence (AI) Ethics is a nascent yet critical research field. Recent developments in generative AI and foundational models necessitate a renewed look at the problem of AI Ethics. In this study, we perform a bibliometric analysis of AI Ethics literature for the last 20 years based on keyword search. Our study reveals a three-phase development in AI Ethics, namely an incubation phase, making AI human-like machines phase, and making AI human-centric machines phase. We conjecture that the next phase of AI ethics is likely to focus on making AI more machine-like as AI matches or surpasses humans intellectually, a term we coin as â€œmachine-like humanâ€.</t>
  </si>
  <si>
    <t>The mission of the Center for Standards and Ethics in Artificial Intelligence (CSEAI) is to promote safe, effective, and ethical AI standards through research, outreach, and education in partnership with industry and government. We briefly discuss CSEAI's workforce development plan, including mentoring undergraduate and graduate students and providing continuing education for industry professionals. The CSEAI aims to facilitate the production of standardized, ethical AI products that are safe for users and promote diversity in the field. By underscoring the importance of socially responsible innovation and ethical standards in AI, we show the CSEAI's aims to protect consumers and increase trust in responsible AI products and services.</t>
  </si>
  <si>
    <t>Despite the rapid expansion of AI ethics education interventions across various institutions, there is a notable absence of empirical research systematically mapping or comparing these interventions. Furthermore, the extent and mechanisms of their effectiveness or ineffectiveness remain largely unexplored. To address these gaps, we aim to design and conduct the first-of-its-kind national survey on the state of AI ethics education. This survey will examine how faculty and administrators across the spectrum of American colleges and universities approach AI ethics education. This paper presents our reflections on the methodology behind designing two surveys intended to explore faculty and administrator perceptions of AI ethics education. It also briefly introduces the structures of the two surveys. We hope the findings from this paper will be of particular interest to scholars and educators focused on evaluating institutional-level ethics education in technology and engineering disciplines.</t>
  </si>
  <si>
    <t>Whereas we acknowledge in general certain values as crucial for the ethical debate in AI, like e.g., fairness, transparency, and accountability, these values often can stand in conflict with each other. E.g., more transparency can lead to less privacy. Introducing higher principles to balance the values faces two problematic issues: (1.) Principles also can stand in conflict with each other and defer the discussion into a purely theoretical realm. (2.) If a higher-level principle is introduced and this also stands in conflict with another principle, then a higher-higher-level principle is needed, and we will get into an infinite regress. Although ethics of AI is part of the so-called field of applied ethics and it seems therefore that it is about the application of principles and values and finding the right balance regarding certain ethical theories, e.g., Kantian ethics or utilitarianism ([1][2][3]), the traditional approaches in the field of applied ethics do not offer sufficient conceptual means to deal with practical problems. Thus, the problems that arise from the implementation of intelligent systems can also not be handled adequately, because the same issue as above arises: How can the values be balanced regarding the ethical theories? If higher-level principles are not a viable approach to resolve conflicts of values, the criteria under which they can be implemented should be taken into consideration. Therefore, it is proposed that specific criteria for the implementation of the values need to be made explicit, which will result at least in a clarification for the public debate about certain technological advancements in the field of AI. [4] Furthermore, it is proposed that to resolve these conflicts the implementation must be evaluated, whether it enables human intervention in the future instead of making further actions and interventions impossible.</t>
  </si>
  <si>
    <t>10.1109/ETHICS65148.2025.11098410</t>
  </si>
  <si>
    <t>10.1109/ETHICS57328.2023.10155062</t>
  </si>
  <si>
    <t>10.1109/ETHICS57328.2023.10155069</t>
  </si>
  <si>
    <t>10.1109/CSDE59766.2023.10487710</t>
  </si>
  <si>
    <t>10.1109/ETHICS57328.2023.10155071</t>
  </si>
  <si>
    <t>10.1109/ETHICS65148.2025.11098311</t>
  </si>
  <si>
    <t>10.1109/ISTAS52410.2021.9629163</t>
  </si>
  <si>
    <t>AI alignment;AI ethics education;narrative pedagogy;responsible innovation;unintended consequences;engineering ethics</t>
  </si>
  <si>
    <t>ethics guidelines;values;principles;indicator system;VCIO model</t>
  </si>
  <si>
    <t>AI ethics;social media;Reddit;public perceptions;technological frames;bias</t>
  </si>
  <si>
    <t>artificial intelligence ethics;AI ethics;machine ethics;algorithm ethics;Roboethics;human-like machine;machine-like human</t>
  </si>
  <si>
    <t>responsible AI;AI ethics standards</t>
  </si>
  <si>
    <t>AI ethics;methodological reflections;survey design;faculty;administrators</t>
  </si>
  <si>
    <t>philosophy of technology;ethics of AI;practical ethics</t>
  </si>
  <si>
    <t>("All Metadata":AI ethics) OR ("All Metadata":ethical implications) AND ("Document Title":public surveillance) AND ("All Metadata":privacy preserving)</t>
  </si>
  <si>
    <t>Effect of Privacy-Preserving Techniques on Detection Accuracy of Pedestrians</t>
  </si>
  <si>
    <t>Privacy-preserving visual analysis: training video obfuscation models without sensitive labels</t>
  </si>
  <si>
    <t>Privacy-Preserving AI: A Comprehensive Approach to Big Data Security</t>
  </si>
  <si>
    <t>Comprehensive review of recent developments in visual object detection based on deep learning</t>
  </si>
  <si>
    <t>Vision-based outlier detection techniques in automated surveillance: a survey and future ideas</t>
  </si>
  <si>
    <t>Privacy Computing Techniques</t>
  </si>
  <si>
    <t>FedVAD: Enhancing Federated Video Anomaly Detection with&amp;#xa0;GPT-Driven Semantic Distillation</t>
  </si>
  <si>
    <t>Evaluation of Geometric and Photometric Data Augmentation for Pedestrian Detection with Thermal Cameras</t>
  </si>
  <si>
    <t>10.1007/s10489-024-05489-9</t>
  </si>
  <si>
    <t>10.1007/978-981-97-6106-7_37</t>
  </si>
  <si>
    <t>10.1007/s10462-025-11284-w</t>
  </si>
  <si>
    <t>10.1007/s11042-023-15911-y</t>
  </si>
  <si>
    <t>10.1007/978-981-99-4943-4_4</t>
  </si>
  <si>
    <t>10.1007/978-3-031-73668-1_14</t>
  </si>
  <si>
    <t>10.1007/978-3-031-65318-6_24</t>
  </si>
  <si>
    <t>Sander DeÂ ConinckWei-Cheng WangSam LerouxPieter Simoens</t>
  </si>
  <si>
    <t>Kartikey RaoAnanya GuptaPraveen AroraSuman Madan</t>
  </si>
  <si>
    <t>Enerst EdozieAliyu Nuhu ShuaibuUkagwu Kelechi JohnBashir Olaniyi Sadiq</t>
  </si>
  <si>
    <t>Ankita UmaleNidhi LalCharu Goel</t>
  </si>
  <si>
    <t>Fenghua LiHui LiBen Niu</t>
  </si>
  <si>
    <t>Fan QiRuijie PanHuaiwen ZhangChangsheng Xu</t>
  </si>
  <si>
    <t>Marco FanfaniMatteo MarulliPaolo Nesi</t>
  </si>
  <si>
    <t>Visual analysis tasks, including crowd management, often require resource-intensive machine learning models, posing challenges for deployment on edge hardware. Consequently, cloud computing emerges as a prevalent solution. To address privacy concerns associated with offloading video data to remote cloud platforms, we present a novel approach using adversarial training to develop a lightweight obfuscator neural network. Our method focuses on pedestrian detection as an example of visual analysis, allowing the transformation of video frames on the camera itself to retain only essential information for pedestrian detection while preserving privacy. Importantly, the obfuscated data remains compatible with publicly available object detectors, requiring no modifications or significant loss in accuracy. Additionally, our technique overcomes the common limitation of relying on labeled sensitive attributes for privacy preservation. By demonstrating the inability of pedestrian attribute recognition models to detect attributes in obfuscated videos, we validate the efficacy of our privacy protection method. Our results suggest that this scalable approach holds promise for enabling camera usage in video analytics while upholding personal privacy.</t>
  </si>
  <si>
    <t>Privacy-preserving edge computing, Cloud-edge collaboration, Visual analysis, Pedestrian detection, Pedestrian attribute recognition</t>
  </si>
  <si>
    <t>Big data serves as the vital element for machine learning (ML) techniques and artificial intelligence (AI) systems, providing vast quantities of data which is necessary for training and refining algorithms for impellent sharpened decision-making, increasing efficiency and innovation in many businesses including government. Notwithstanding, the rising dependence on information has brought to the very front the basic issues of information protection and security. The fusion of AI and big data has catalyzed breakthroughs on various applications, including natural language processing, recommendation systems, computer vision, and predictive analytics. In this paper, we discussed the privacy and security threats as a main driving force within the ML/AI workflow. Our goal here is to create a bridge between the standardization and research frame to increase the efficiency and consistency of AI applications development which can guarantee user satisfaction while providing a great degree of trustworthiness.</t>
  </si>
  <si>
    <t>None listed</t>
  </si>
  <si>
    <t>This comprehensive review looks into the recent developments in visual object detection, focusing on the transformative effect of deep learning (DL) technologies. In object detection, computer vision is a basic issue. This involves object detection and location in the video and image frames, which has notable advantages in robotics, autonomous driving, medical imaging, and surveillance. At the heart of this transformation lies deep learning (DL), a subfield of AI that has profoundly redefined the possibilities of object detection. This paper presents a comprehensive review of the most recent and impactful developments in visual object detection, with a particular focus on deep learning-based methods. While traditional approaches relied heavily on handcrafted features and rule-based algorithms, modern detection systems leverage data-driven learning, end-to-end training pipelines, and highly optimized neural architectures to achieve extraordinary performance. This review captures that transition in detail, highlighting how convolutional neural networks (CNNs) and, more recently, transformer-based models have become central to state-of-the-art detection systems.</t>
  </si>
  <si>
    <t>Outlier detection is one of the emerging study topics influenced by video annotation. An outlier is anything odd or irregular that deviates from the norm. Outlier detection is subjective since it is influenced by a variety of contextual circumstances. Human mobility patterns and classification are explored in this survey to combine it for further anomaly detection. There is a possibility of noise interference in automated surveillance, which disturbs a video stream and makes it difficult to identify details, reducing its accuracy. The presence of such frequent noise-interference raises the error rate, particularly in real-time processing models. Aside from that, Motion Camouflage must be addressed in intelligent surveillance to obtain a clear view of the frame. This paper offers a focused survey, highlighting the three major issues in video anomaly detection: the inadequate utilization of Motion Patterns, the prolonged Noise Interference that affects accuracy and leads to an increased error rate, and the elevated false-alarm rate due to Motion Camouflage. A brief analysis of these techniques, as well as their limitations, is provided. This paper focuses on probable challenges in the field of video-based outlier detection in automated surveillance and ways to mitigate those challenges. Moreover, this survey draws attention to the promising directions of research.</t>
  </si>
  <si>
    <t>One of the core goals of privacy computing is to guide the research of privacy-preserving algorithms from the perspective of “computing,” and to continuously explore and iterate on the basic theory of privacy-preserving algorithms in response to the characteristics of multi-modality of privacy information, diversification of applications, and dynamic differences in preservation requirements. In practical applications, there is a need for a quantitative evaluation system and evaluation method for the effectiveness of privacy-preserving algorithms, so as to facilitate the promotion and application of privacy-preserving algorithms in the industry.</t>
  </si>
  <si>
    <t>The imperative for smart surveillance systems to robustly detect anomalies poses a unique challenge given the sensitivity of visual data and privacy concerns. We propose a novel Federated Learning framework for Video Anomaly Detection that operates under the constraints of data heterogeneity and privacy preservation. We utilize Federated Visual Consistency Clustering to group clients on the server side. Further innovation is realized with an Adaptive Semantic-Enhanced Distillation strategy that infuses public video knowledge into our framework. During this process, Large Language Models are utilized for semantic generation and calibration of public videos. These video-text pairs are then used to fine-tune a multimodal network, which serves as a teacher in updating the global model. This approach not only refines video representations but also increases sensitivity to anomalous events. Our extensive evaluations showcase FedVAD’s proficiency in boosting unsupervised and weakly supervised anomaly detection, rivaling centralized training paradigms while preserving privacy. The code will be made available publicly at https://github.com/Eurekaer/FedVAD.</t>
  </si>
  <si>
    <t>The capability to detect pedestrians using video surveillance systems is a fundamental task to assess the number of people in particular areas and to enable other applications like people tracking and trajectory estimation. Thanks to recent advancements of object detectors based on deep learning approaches, it is possible to localize pedestrians in recorded images with good accuracy. However, some limitations still exist. Most of the proposed solutions at the state-of-the-art deal with color RGB images, that could present privacy issues, hampering the deployment of such solutions. Moreover, changing the application scenario could worsen the performance, requiring time consuming fine tuning and transfer learning operation. In this paper, we respond to these issues by using thermal images analysis that can guarantee a higher privacy preservation instead of RGB data. In addition, a deep study on data augmentation techniques has been provided to generate more flexible trained models that could simplify their adoption in different scenarios without requiring additional acquisition, labeling work and fine tuning.</t>
  </si>
  <si>
    <t>Exploring the tradeoff between data privacy and utility with a clinical data analysis use case</t>
  </si>
  <si>
    <t>Addressing challenges in speaker anonymization to maintain utility while ensuring privacy of pathological speech</t>
  </si>
  <si>
    <t>Abstract: Utility-preserving Measure for Patient Privacy</t>
  </si>
  <si>
    <t>Privacy-preserving people detection in the wild</t>
  </si>
  <si>
    <t>The balance of utility, privacy, and trust in network services</t>
  </si>
  <si>
    <t>DRAPE: optimizing private data release under adjustable privacy-utility equilibrium</t>
  </si>
  <si>
    <t>Community-Preserving Social Graph Release with Node Differential Privacy</t>
  </si>
  <si>
    <t>10.1186/s12911-024-02545-9</t>
  </si>
  <si>
    <t>10.1038/s43856-024-00609-5</t>
  </si>
  <si>
    <t>10.1007/978-3-658-44037-4_93</t>
  </si>
  <si>
    <t>10.1007/s10044-025-01470-5</t>
  </si>
  <si>
    <t>10.1007/s10586-023-04112-9</t>
  </si>
  <si>
    <t>10.1007/s10799-022-00378-4</t>
  </si>
  <si>
    <t>10.1007/s11390-021-1270-7</t>
  </si>
  <si>
    <t>Eunyoung ImHyeoneui KimHyungbok LeeXiaoqian JiangJu Han Kim</t>
  </si>
  <si>
    <t>Soroosh Tayebi ArastehTomÃ¡s Arias-VergaraPaula Andrea PÃ©rez-ToroTobias WeiseKai PackhÃ¤userMaria SchusterElmar NoethAndreas MaierSeung Hee Yang</t>
  </si>
  <si>
    <t>Kai PackhÃ¤userSebastian GÃ¼ndelFlorian ThammFelix DenzingerAndreas Maier</t>
  </si>
  <si>
    <t>Mateusz KnapikBogusÅ‚aw Cyganek</t>
  </si>
  <si>
    <t>Yi Wan</t>
  </si>
  <si>
    <t>Qingyue XiongQiujun LanJiaqi MaHuiling ZhouGang LiZheng Yang</t>
  </si>
  <si>
    <t>Sen ZhangWei-Wei NiNan Fu</t>
  </si>
  <si>
    <t>Privacy has become a critical concern in the era of smart cities and ubiquitous video surveillance systems. As cities become more connected and data-driven, individuals’ privacy rights must be safeguarded, especially regarding their movements and activities in public and semi-public spaces. Many applications, such as crowd management or people counting, rely on video data for processing. However, this video data contains sensitive privacy aspects that could be exploited for malicious purposes beyond the original task, such as person identification or racial profiling. The growing usage of AI for smart city applications, coupled with the prevalence of cloud computing, further exacerbates these privacy concerns. There are two potential solutions to address privacy and security concerns in camera analytics. One approach is to conduct all computations on the camera device and only transmit the results, which can prevent data leakage. However, this approach has limitations as edge devices have fewer computational resources and are more prone to wear and tear. Providing all cameras with embedded processors capable of running analytics is, therefore, a costly solution. Moreover, to safeguard the data from being compromised during computation, it is necessary to work within a Trusted Execution Environment (TEE), which has severe memory limitations. An alternative solution is to integrate a privacy-preserving technique on the edge device, which is less computationally intensive and more suitable for TEEs while offloading the majority of the computation to a cloud model. This approach leverages the advantages of cloud computing, such as lower computational costs, better maintainability, and scalability, while requiring an additional component to provide privacy protection. The framework proposed in this paper belongs to this category of solutions, which we apply to the visual analysis task of pedestrian detection. In this category, researchers have used anonymization, encryption, and aggregation techniques on surveillance footage to protect individuals’ privacy while extracting valuable insights from the data. However, the models used in this category of works are often explicitly trained to prohibit inferring specific sensitive attributes, which has several drawbacks. Firstly, this necessitates defining all sensitive attributes beforehand, making it vulnerable to oversight. Secondly, these techniques need machine learning models to infer these private attributes, and, subsequently, labelled datasets of all private attributes which requires compliance with data protection legislation. Finally, existing strategies frequently require modifications to the machine learning model of the allowed task, making them incompatible with existing architectures for these tasks and more costly to develop. This paper proposes a novel approach for privacy-preserving edge-cloud visual analysis based on Generative Adversarial Privacy (GAP). We apply our technique to pedestrian detection, as this is an indicative task for smart city applications involving human data. Note that the framework can be applied to any task. Our method is designed to maintain high detection accuracy while minimizing the amount of personal data collected and processed, making it suitable for use in smart cities and other urban applications. Critically, our privacy-preserving scheme does not require access to sensitive task labels and focuses solely on allowing the task (e.g. pedestrian detection) in an opt-in manner by preventing adversaries from recreating the original data from the privatized form. Furthermore, our technique does not require modification of the downstream model, making it compatible with existing utility models and allowing the usage of third-party software. We validate privacy preservation by training Pedestrian Attribute Recognition (PAR) models on obfuscated data using labels from the original data, positing that they will be unable to learn on filtered data since most attributes are related to identification but are not necessary for detection of the presence of a pedestrian. PAR accuracy was chosen as an indication of privacy as the attributes recognized can be considered sensitive, such as gender, age, etc. Moreover, PAR is regarded as a foundational computer vision block in intrusive tasks such as person re-identification and tracking. Figure 1 showcases the intended use of our work. We compare our technique against both classic obfuscation methods like blurring, noising, quantizing and pixelating as well as deep-learning-based techniques focusing on pedestrian anonymization. Subsequently, we verify additional wanted properties of our technique when used in an edge-cloud setup, such as efficiency in comparison to pedestrian detection models and generalizability across multiple object detection models and cameras. Lastly, we investigate the effect of model complexity on the privacy-utility tradeoff. The main contributions of our work are as follows: * Our adversarial obfuscation allows pedestrian detection with minimal accuracy degradation while significantly decreasing the information on pedestrian attributes in the video transmitted to the cloud-based model. * Our method provides significantly better privacy protection than classic obfuscation techniques, given the same utility. The adversarial obfuscator outperforms the deep-learning based methods while requiring less time to execute and memory to store. * Our method can generalize over multiple cameras from the same dataset. It is, however, not compatible with different person detection models other than the one it was trained for. * The complexity of the obfuscator model can be used to tune the privacy-accuracy tradeoff slightly. The outline of this paper is as follows: Section 2 describes the related works in privacy-preserving machine learning and pedestrian detection. Subsequently, we describe the architecture of our privacy-preserving scheme and evaluation technique in Sections 3 and 3.2. The experiments and their results are described in Section 4. Finally, we conclude our paper and look to future works in Section 5.</t>
  </si>
  <si>
    <t>### Background Securing adequate data privacy is critical for the productive utilization of data. De-identification, involving masking or replacing specific values in a dataset, could damage the dataset’s utility. However, finding a reasonable balance between data privacy and utility is not straightforward. Nonetheless, few studies investigated how data de-identification efforts affect data analysis results. This study aimed to demonstrate the effect of different de-identification methods on a dataset’s utility with a clinical analytic use case and assess the feasibility of finding a workable tradeoff between data privacy and utility. ### Methods Predictive modeling of emergency department length of stay was used as a data analysis use case. A logistic regression model was developed with 1155 patient cases extracted from a clinical data warehouse of an academic medical center located in Seoul, South Korea. Nineteen de-identified datasets were generated based on various de-identification configurations using ARX, an open-source software for anonymizing sensitive personal data. The variable distributions and prediction results were compared between the de-identified datasets and the original dataset. We examined the association between data privacy and utility to determine whether it is feasible to identify a viable tradeoff between the two. ### Results All 19 de-identification scenarios significantly decreased re-identification risk. Nevertheless, the de-identification processes resulted in record suppression and complete masking of variables used as predictors, thereby compromising dataset utility. A significant correlation was observed only between the re-identification reduction rates and the ARX utility scores. ### Conclusions As the importance of health data analysis increases, so does the need for effective privacy protection methods. While existing guidelines provide a basis for de-identifying datasets, achieving a balance between high privacy and utility is a complex task that requires understanding the data’s intended use and involving input from data users. This approach could help find a suitable compromise between data privacy and utility.</t>
  </si>
  <si>
    <t>Robust and reliable anonymization of chest radiographs constitutes an essential step before publishing large datasets of such for research purposes. The conventional anonymization process is carried out by obscuring personal information in the images with black boxes and removing or replacing meta-information. However, such simple measures retain biometric information in the chest radiographs, allowing patients to be re-identified by a linkage attack. Therefore, there is an urgent need to obfuscate the biometric information appearing in the images. We propose the first deep learning-based approach (PriCheXy-Net) to targetedly anonymize chest radiographs while maintaining data utility for diagnostic and machine learning purposes. Our model architecture is a composition of three independent neural networks that, when collectively used, allow for learning a deformation field that is able to impede patient re-identification. Quantitative results on the ChestX-ray14 dataset show a reduction of patient re-identification from 81.8% to 57.7% (AUC) after re-training with little impact on the abnormality classification performance. This indicates the ability to preserve underlying abnormality patterns while increasing patient privacy. Lastly, we compare our proposed anonymization approach with two other obfuscation-based methods (Privacy-Net, DP-Pix) and demonstrate the superiority of our method towards resolving the privacy-utility trade-off for chest radiographs.</t>
  </si>
  <si>
    <t>Detecting people and their attributes in natural conditions is one of the basic tasks of computer vision systems. Unfortunately, all known algorithms do not provide even the slightest protection of data privacy. In this paper, we fill this gap by proposing a system for detecting people while maintaining data privacy thanks to the learnable perceptual encryption of an image immediately after its acquisition and before detection. A novelty is our proposed hierachical image scrambling technique and modified YOLO detector, equipped with original input layers that enable effective detection in encrypted images. This is possible thanks to the use of the Lipschitz cost function and original attention modules. The experimental results using images from various everyday situations, obtained both in the visible spectrum and in the thermal band, prove the effectiveness of our method. Our code is available on GitHub.</t>
  </si>
  <si>
    <t>In network services, there are often conflicts among privacy protection, trust, and service quality, which greatly reduces the regulatory effectiveness of networks. Using the basic method of information theory, this paper considers the optimization mechanism of trust and the balance between privacy and service utility from the perspective of quantifying information flow. First, we build a trust model based on multiple factors, such as direct trust, service trust, and trust cloud network. The weight of trust factors is determined by category diversity and information entropy theory. Second, based on statistical knowledge and information entropy, we propose a new privacy measurement model with hierarchical weights. Third, we establish a trust privacy service relationship model to realize the trade-off between privacy, service, and trust in networks. The demander can choose to establish trust, protect privacy, or obtain high-quality services according to personal preferences and needs. Fourth, we propose a privacy trust mapping relationship model and a privacy disclosure selection model. Finally, we design different experimental schemes. These simulation results show that our research can not only provide better quality of service but also better protect privacy and help interactive parties in networks establish a strong trust relationship. This research will improve the effectiveness of networks and can be applied to class II vaccine multi-agent collaborative supervision based on technology.</t>
  </si>
  <si>
    <t>Data releasing and sharing between several fields has became inevitable tendency in the context of big data. Unfortunately, this situation has clearly caused enormous exposure of sensitive and private information. Along with massive privacy breaches, privacy-preservation issues were brought into sharp focus and privacy concerns may prevent people from providing their personal data. To meet the requirements of privacy protection, such a problem has been extensively studied. However, privacy protection of sensitive information should not prevent data users from conducting valid analyses of the released data. We propose a novel algorithm in this paper, named Data Release under Adjustable Privacy-utility Equilibrium (DRAPE), to address this problem. We handle the privacy versus utility tradeoff in the data release problem by breaking sensitive associations among variables while maintaining the correlations of nonsensitive variables. Furthermore, we quantify the impact of the proposed privacy-preserving method in terms of correlation preservation and privacy level, and thereby develop an optimization model to fulfil data privacy and data utility constraints. The proposed approach is not only able to provide a better privacy levels control scheme for data publishers, but also provides personalized service for data requesters with different utility requirements. We conduct experiments on one simulated dataset and two real datasets, and the simulation results show that DRAPE efficiently achieves a guaranteed privacy level while simultaneously effectively preserving data utility.</t>
  </si>
  <si>
    <t>The goal of privacy-preserving social graph release is to protect individual privacy while preserving data utility. Community structure, which is an important global pattern of nodes, is a crucial data utility as it is fundamental to many graph analysis tasks. Yet, most existing methods with differential privacy (DP) commonly fall into edge-DP to sacrifice security in exchange for utility. Moreover, they reconstruct graphs from the local feature-extraction of nodes, resulting in poor community preservation. Motivated by this, we develop PrivCom, a strict node-DP graph release algorithm to maximize the utility on the community structure while maintaining a higher level of privacy. In this algorithm, to reduce the huge sensitivity, we devise a Katz index based private graph feature extraction method, which can capture global graph structure features while greatly reducing the global sensitivity via a sensitivity regulation strategy. Yet, under the condition that the sensitivity is fixed, the feature captured by the Katz index, which is presented in matrix form, requires privacy budget splits. As a result, plenty of noise is injected, mitigating global structural utility. To bridge this gap, we design a private eigenvector estimation method, which yields noisy eigenvectors from extracted low-dimensional vectors. Then, a dynamic privacy budget allocation method with provable utility guarantees is developed to preserve the inherent relationship between eigenvalues and eigenvectors, so that the utility of the generated noise Katz matrix is well maintained. Finally, we reconstruct the synthetic graph via calculating its Laplacian with the noisy Katz matrix. Experimental results confirm our theoretical findings and the efficacy of PrivCom.</t>
  </si>
  <si>
    <t>SAGES consensus recommendations on surgical video data use, structure, and exploration (for research in artificial intelligence, clinical quality improvement, and surgical education)</t>
  </si>
  <si>
    <t>Examining the Impact of Data Governance on Privacy Regulations Compliance: A Systematic Literature Review</t>
  </si>
  <si>
    <t>Intelligent environments and assistive technologies for assisting visually impaired people: a systematic literature review</t>
  </si>
  <si>
    <t>Towards a&amp;#xa0;Metadata Management System for&amp;#xa0;Provenance, Reproducibility and&amp;#xa0;Accountability in&amp;#xa0;Federated Machine Learning</t>
  </si>
  <si>
    <t>10.1007/s00464-023-10288-3</t>
  </si>
  <si>
    <t>10.1007/978-981-96-6429-0_40</t>
  </si>
  <si>
    <t>10.1007/s10209-024-01117-y</t>
  </si>
  <si>
    <t>10.1007/978-3-031-23298-5_1</t>
  </si>
  <si>
    <t>Jennifer A. EckhoffGuy RosmanMaria S. AltieriStefanie SpeidelDanail StoyanovMehran AnvariLena Meier-HeinKeno MÃ¤rzPierre JanninCarla PughMartin WagnerElan WitkowskiParesh ShawAmin MadaniYutong BanThomas WardFilippo FilicoriNicolas PadoyMark TalaminiOzanan R. Meireles</t>
  </si>
  <si>
    <t>Jude OsakweSinte MuteloNelson Osakwe</t>
  </si>
  <si>
    <t>Leandro Rossetti de SouzaRosemary FranciscoJoÃ£o Elison da Rosa TavaresJorge Luis VictÃ³ria Barbosa</t>
  </si>
  <si>
    <t>JosÃ© A. PeregrinaGuadalupe OrtizChristian Zirpins</t>
  </si>
  <si>
    <t>The digital revolution and the seemingly widespread access to healthcare data have bestowed the field of medicine with unprecedented opportunities for research, technological innovation, and education. In the late 1980s and early 1990s, laparoscopic surgery began to gain widespread acceptance, its adoption initiated the generation of a new type of data, surgical video. Videos are composed of still images (i.e., frames) played over time and provide both spatial and temporal information, including the nature of interaction between subjects and objects. In a surgical video, the surgeon acts as a subject, altering the operating field, the object, to achieve a specific goal [ 1]. Today, every second, the collective of all surgical procedures performed worldwide generates vast amounts of surgical video data, along with its associated meta-data. The rapidly growing number of applications of surgical video data result in increasingly complex requirements for data structure and management. Additionally, the exceeding number of use cases for surgical video data leads to a growing need for adequate data governance and the use advanced tools, such as computer vision, machine learning (ML), and artificial intelligence (AI), to allow for enhanced exploration of this type of data. The data lifecycle (Fig. 1) highlights various interconnected stages that must be considered throughout the evolution of surgical video data—from its creation, storage, and distribution to model creation and utilization, and on to data-driven improvement and future expansions. Guidelines for surgical video data must address the complex aspects around the data in its raw, original state as collected in the operating room, its innate structure, and its associated metadata, which influences all subsequent data management and usage. This is followed by necessary and feasible data manipulation to facilitate sustainable, responsible and practical data storage and exchange. Next, methods for exploring and processing the data must be developed to accommodate current and future use cases and the interests of diverse stakeholders in the broader realm of research, education, and clinical practice. Ultimately, all-encompassing ethical and legal considerations must be factored in to govern data access and address inclusivity, bias, privacy, and consent concerns. In this context, the AI Taskforce of the Society of American Gastrointestinal and Endoscopic Surgeons (SAGES) has developed a pragmatic and strategic plan to foster the development of sustainable and scalable surgical AI, and contribute to the establishment of best practices for efficient and robust surgical data science. The previously published consensus recommendations on surgical imaging and video annotation constitute the foundation for an interdisciplinary framework for adequate labeling and exploration of target features in surgical video data [ 2]. Additionally, the Taskforce has investigated current commercially available video acquisition platforms for intraoperative video recording [ 3]. Following these milestones, the SAGES AI Task Force developed the Surgical Video Data Consensus project to address the handling and managing of the multifaceted aspects (Use, Structure, governance, and Exploration) of surgical video data throughout all stages of its lifecycle. To effectively work with surgical video, a thorough understanding of the multifaceted aspects of data and its management throughout the data lifecycle is crucial for both present and potential future use cases. Meanwhile compliance with legal and ethical principles is paramount. Although data management hurdles have been better addressed in other medical disciplines, such as radiology or pathology, surgical video data management lacks comprehensive guidelines and adequate infrastructure. This shortcoming can be attributed to the myriad of spatial, temporal, and contextual factors that uniquely affect data in the visual domain and their ensuing implications. These factors include patient-related aspects (e.g., anatomy, underlying conditions, organ, and tissue characteristics), surgeon-related elements (e.g., experience, skill, tools utilized), procedure-related factors (e.g., surgical techniques, equipment, intraoperative events, complications), and demographic aspects (e.g., video origin, resource availability, equipment used). Overall, understanding the multifaceted nature of data and its lifecycle has become increasingly important for scientific advancement. Figure 2 depicts the complexity and multifactorial overlap between these 4 key themes quintessentially impacting the value, benefit, and challenges around surgical video data. Key aspects of surgical video data to be considered in the establishment of standardized guidelines are: * Data Use addresses the users and use cases of the data, highlighting the significance of understanding the various interactions between different stakeholders, such as government entities, healthcare organizations, societies, physicians, and patients. Identifying the distinct needs of these users can help inform data management and application strategies. * Data Structure encompasses the architecture and organization of surgical video data and the associated metadata, as well as the processes involved in its acquisition, storage, and distribution. This aspect ensures that data is optimally formatted and readily accessible to various stakeholders for various use cases. * Data Exploration represents the research aspect of data use: investigating current applications, emerging technologies and future potential novel use cases. Data Exploration not only uncovers the potential of the data but also its limitations in the form of biases and unmet needs in numerous fields. This aspect propels innovation and discovery, contributing to scientific knowledge's ongoing growth and evolution. * Data Governance comprises the outlines through which policies, rules, and regulations are formulated and enforced, dictating data utilization and protection across different societal levels. Effective governance fosters responsible data use while addressing privacy and ethical concerns. ## Purpose and scope The objectives of this consensus project are to (1) determine present-day approaches to managing surgical video data and (2) to suggest guidelines for the essential aspects of data management, with the intention of fostering a more standardized method to improve interdisciplinary and collaborative research efforts. These recommendations are designed to support physicians and engineers involved in the research and clinical application of surgical video-based AI by streamlining data management that enables the comparison of results between research groups, the amalgamation of heterogeneous datasets, and the cross-validation of algorithmic outcomes. The scope of this consensus is confined to surgical video data pertaining to minimally invasive surgery, encompassing laparoscopic, thoracoscopic, endoscopic, and robot-assisted procedures of the chest, abdomen, and pelvis. The objective is to create a foundational framework for surgical video data management to guide the development of more specific methods for organizing, storing, and utilizing surgical video data for training and testing algorithms. ## Materials and methods ### Working group composition, participant selection, and eligibility criteria A steering group of surgical AI and data science experts was assembled. The subject of video data management for surgical AI was divided into the following four working groups, focused on the domains: (1) Data Use, (2) Data Structure, (3) Data Exploration, and (4) Data Governance. The expert steering group assembled working groups composed of clinicians, engineers and computer scientists from academia and industry. Participants</t>
  </si>
  <si>
    <t>This study aimed to investigate the interrelationship between data governance and compliance with privacy regulations. A systematic literature review was conducted to synthesise the existing research on data governance’s impact on compliance with privacy regulations. The study found that data governance has a positive association with compliance, with integrated data governance methods and processes supporting decision-making and stakeholders’ involvement guaranteeing transparent processes. The findings also suggested that the impact of data governance on privacy regulations compliance needs a certain maturity level and top management support. Key recommendations for organisations are outlined to enhance their governance frameworks, promote transparency and align resources effectively in order to bolster compliance with privacy regulations. The study concludes by addressing identified research gaps and offering directions for future studies aimed at exploring the evolving landscape of data governance and privacy compliance.</t>
  </si>
  <si>
    <t>Intelligent environments (IE) refer to physical spaces imbued with pervasive and seamless intelligence, created to proactively support individuals in their daily routines. Developments in technologies such as the internet of things (IoT) and artificial intelligence (AI) have taken these environments from theoretical notions to practical realities. Simultaneously, the field of ambient assisted living (AAL) has made significant strides. Evolving from AT, AAL represents an application of IE that specifically seeks to enable individuals-especially those with disabilities or the elderly-to lead healthier, more independent, and dignified lives through the assistance of technology integrated within their living environments. The confluence of IE and AAL has led to the rise of innovative solutions aimed at enhancing the lives of individuals with special needs, such as the visually impaired people (VIP). This research presents a systematic literature review investigating the utilization of IE, underpinned by AAL principles, in supporting VIPs. Initially, a pool of 14,760 studies was obtained from 9 databases, all published up to December 2022. After applying specific inclusion and exclusion criteria, this pool was reduced to 101 articles. Each of these articles was reviewed, analyzed, and categorized into four functional and operating principle categories to address five research questions. The study proposes multiple taxonomies as an approach to holistically synthesize the various technologies and devices categorized in the reviewed articles. Emerging research challenges and trends in this domain are highlighted, with a substantial trend being the escalating use of deep learning (DL) techniques. These techniques have been pivotal in the development of systems focused on object detection, path recognition, and navigation for devices, particularly smartphones, geared towards enhancing the lives of VIPs.</t>
  </si>
  <si>
    <t>The application of Data Governance (DG) to Federated Machine Learning (FML) could provide a way to produce better Machine Learning models. Nevertheless, such an application is still almost nonexistent in literature. Within a proposal for applying DG to FML, we first present an approach of metadata for FML, to provide accountability and assist with the continuous improvement of models in the federation. Our proposal includes a metadata model for tracing the operations of participants and collecting all information regarding the definition of goals and configuration of FML training processes. Additionally, we present the outline of a metadata management system as part of a broader DG architecture. Finally, we show some use cases of metadata management.</t>
  </si>
  <si>
    <t>Surgical video data, Artificial intelligence, Minimally invasive surgery, Data lifecycle, Data governance, Metadata management, Ethical considerations, Bias mitigation, Surgical education, Clinical quality improvement</t>
  </si>
  <si>
    <t>Data governance, Privacy regulations, Compliance, Systematic literature review, Stakeholder involvement, Organizational maturity, Transparency</t>
  </si>
  <si>
    <t>Intelligent environments, Assistive technologies, Visually impaired people, Ambient assisted living, Internet of Things, Artificial intelligence, Deep learning, Systematic literature review, Object detection, Navigation systems</t>
  </si>
  <si>
    <t>Metadata management, Federated machine learning, Data governance, Provenance, Reproducibility, Accountability, Model improvement, Training configuration</t>
  </si>
  <si>
    <t>Privacy-preserving edge computing, Cloud-edge collaboration, Visual analysis, Pedestrian detection, Pedestrian attribute recognition, Adversarial training, Privacy protection, Video obfuscation</t>
  </si>
  <si>
    <t>The advent of speech as a pivotal component in digital technology has accentuated privacy concerns due to the inherent biometric information speech carries, particularly highlighted in its role as a biomarker extensively utilized in healthcare applications, such as Parkinson’s and Alzheimer’s diseases detection or speech therapy, for its cost-effectiveness and non-invasive nature. However, the advent of deep learning necessitates an ever-increasing volume of speech data for algorithm training. Despite the daily influx of patients with speech or voice disorders at various institutions, leveraging this data for research is hampered by stringent privacy regulations. As speech data can reveal a plethora of personal information, there is an urgent need for privacy-preserving technologies in voice data usage. Consequently, the scope of data available for public research use remains narrowly limited. Addressing this issue, speaker anonymization emerges as a pivotal strategy, aiming to obscure personally identifiable information while preserving essential linguistic and speech characteristics. This approach is particularly pertinent in the healthcare sector, where the accuracy and reproducibility of speech biomarkers are paramount for advancing medical diagnostics and treatments. Therefore, finding ways to expand the pool of publicly available training data without breaching privacy norms is crucial for the progression of medical speech technology applications. [...continues with detailed discussion of prior work and study methodology, as provided in the earlier response...]</t>
  </si>
  <si>
    <t>Speaker anonymization, Pathological speech, Privacy preservation, Speech biomarkers, Deep learning, Healthcare applications, Privacy-utility balance, Voice disorders</t>
  </si>
  <si>
    <t>Chest radiographs, Anonymization, Deep learning, Patient privacy, Privacy-utility tradeoff, PriCheXy-Net, Biometric information, Abnormality classification</t>
  </si>
  <si>
    <t>Privacy-preserving detection, People detection, Perceptual encryption, YOLO detector, Hierarchical scrambling, Computer vision, Lipschitz cost function, Attention modules</t>
  </si>
  <si>
    <t>Privacy protection, Network services, Trust model, Service utility, Information entropy, Privacy measurement, Trust-privacy tradeoff, Collaborative supervision</t>
  </si>
  <si>
    <t>An improved Multi-Scale Fusion and Small Object Enhancement method for efficient pedestrian detection in dense scenes</t>
  </si>
  <si>
    <t>Towards transparent and efficient accident resolution: a hybrid deep learningâ€“ontology framework for automated damage detection and culpability reasoning</t>
  </si>
  <si>
    <t>Dense pedestrian face detection in complex environments</t>
  </si>
  <si>
    <t>Unified benchmark construction and algorithm performance evaluation for large-scale object detection</t>
  </si>
  <si>
    <t>Cross-modality complementary information fusion for multispectral pedestrian detection</t>
  </si>
  <si>
    <t>An enhanced framework for real-time dense crowd abnormal behavior detection using YOLOv8</t>
  </si>
  <si>
    <t>Dual-pyramid framework for robust infrared-visible image registration and fusion via convolutional dictionary learning</t>
  </si>
  <si>
    <t>Research on pedestrian counting based on millimeter wave</t>
  </si>
  <si>
    <t>10.1007/s00530-025-01746-0</t>
  </si>
  <si>
    <t>10.1007/s43995-025-00195-0</t>
  </si>
  <si>
    <t>10.1038/s41598-024-72523-8</t>
  </si>
  <si>
    <t>10.1007/s10791-025-09707-x</t>
  </si>
  <si>
    <t>10.1007/s00521-023-08239-z</t>
  </si>
  <si>
    <t>10.1007/s10462-025-11206-w</t>
  </si>
  <si>
    <t>10.1007/s00371-025-04183-2</t>
  </si>
  <si>
    <t>10.1007/s42486-023-00145-6</t>
  </si>
  <si>
    <t>Yalin SongPeng QianKexin ZhangShichong LiuRui ZhaiRan Song</t>
  </si>
  <si>
    <t>Sonia Lajmi</t>
  </si>
  <si>
    <t>Qiang GaoBingru DingXu JiaYinghong XieXiaowei Han</t>
  </si>
  <si>
    <t>Jiayan WangShirong ZouYixuan WangWendong HuangJiajun Song</t>
  </si>
  <si>
    <t>Chaoqi YanHong ZhangXuliang LiYifan YangDing Yuan</t>
  </si>
  <si>
    <t>Rabia NasirZakia JalilMuhammad NasirTahani AlsubaitMaria AshrafSadia Saleem</t>
  </si>
  <si>
    <t>Chaojie WuZheng Li</t>
  </si>
  <si>
    <t>Jiayang ZhaoChuyu WangLei XieYiwen FengSanglu Lu</t>
  </si>
  <si>
    <t>Managing privacy and innovation in AI-enhanced legal services: addressing data protection challenges and ethical considerations</t>
  </si>
  <si>
    <t>Legal and ethical implications of AI-based crowd analysis: the AI Act and beyond</t>
  </si>
  <si>
    <t>Ethical AI cannot be fostered in a vacuum: why AI ethics research needs industry involvement</t>
  </si>
  <si>
    <t>Rethinking responsible AI from ethical pillars to sociotechnical practice</t>
  </si>
  <si>
    <t>Ethical Considerations in Patient Privacy and Data Handling for AI in Cardiovascular Imaging and Radiology</t>
  </si>
  <si>
    <t>The ethical use and development of artificial intelligence (AI) strategy in Egypt: identifying gaps and recommendations</t>
  </si>
  <si>
    <t>Ethical aspects of AI use in the circular economy</t>
  </si>
  <si>
    <t>Eu regulatory ecosystem for ethical AI</t>
  </si>
  <si>
    <t>The Ethical and Privacy Implications of Datafication and Digitalization in Developing Country Contexts</t>
  </si>
  <si>
    <t>10.1007/s43681-025-00745-1</t>
  </si>
  <si>
    <t>10.1007/s43681-024-00644-x</t>
  </si>
  <si>
    <t>10.1007/s44163-024-00182-9</t>
  </si>
  <si>
    <t>10.1007/s43681-025-00809-2</t>
  </si>
  <si>
    <t>10.1007/s10278-025-01656-7</t>
  </si>
  <si>
    <t>10.1007/s43681-025-00729-1</t>
  </si>
  <si>
    <t>10.1007/s00146-025-02436-1</t>
  </si>
  <si>
    <t>10.1007/s43681-025-00749-x</t>
  </si>
  <si>
    <t>10.1057/s41301-024-00401-x</t>
  </si>
  <si>
    <t>Anita YadavMd Tarique Jamal Ansari</t>
  </si>
  <si>
    <t>Emmeke VeltmeijerCharlotte Gerritsen</t>
  </si>
  <si>
    <t>Ahmet KÃ¼Ã§Ã¼kuncular</t>
  </si>
  <si>
    <t>Ayodeji Olusegun IbitoyeMakuochi Samuel NkwoRita Orji</t>
  </si>
  <si>
    <t>Saba MehrtabarAhmed MareyAnushka DesaiAbdelrahman  M. SaadVishal  DesaiJulian GoÃ±iBasudha  PalMuhammad Umair</t>
  </si>
  <si>
    <t>Wael Badawy</t>
  </si>
  <si>
    <t>Iryna Bashynska</t>
  </si>
  <si>
    <t>Vaios BolgourasApostolis ZarrasChristian LekaIoannis StylianouAristeidis FaraoChristos Xenakis</t>
  </si>
  <si>
    <t>Thembekile O. Mayayise</t>
  </si>
  <si>
    <t>Pedestrian detection is a fundamental task in intelligent transportation systems and autonomous driving. Deep learning methods provide effective solutions but still face problems such as variable scale of objects, small objects and pedestrian occlusion, which bring great challenges in this field. This study introduces an enhanced version of the dense pedestrian detection method, RT-DETR-MSS, which is built upon the RT-DETR framework. We make three primary contributions. First, the Multi-Scale Fusion Module is proposed, which enhances multi-scale feature fusion and captures fine-grained spatial information, improving overall performance. Second, we design the Small Object Enhance Structure, which integrates low-level fine-grained features into high-level features to improve small object detection. Third, we introduce the GSConv and Slim-Neck architecture VoV-GSCSP module. This method simplifies the network, optimizes computation, and preserves accuracy. Experiments were performed on the CrowdHuman and WiderPerson datasets to assess the effectiveness of our approach. Compared to the baseline RT-DETR model, our method improved mAP0.5 by 1.7 % and 0.8 %, and mAP0.5:0.95 by 2.2 % and 1.2 % on the CrowdHuman and WiderPerson datasets, respectively.</t>
  </si>
  <si>
    <t>Pedestrian detection, Multi-scale fusion, Small object enhancement, RT-DETR, Dense scenes, Feature fusion, GSConv, Slim-Neck</t>
  </si>
  <si>
    <t>The use of human damage assessments and expert subjective guilt determinations in modern traffic accident management leads to systemic inefficiencies, which provoke impacted drivers and extend resolution timelines. To overcome these obstacles, this study introduces DeepOntoAccident, an intelligent system that transforms accident reporting by combining semantic reasoning with cutting-edge computer vision. The framework aligns deep learning with ontological reasoning and SWRL rules, producing auditable reasoning chains and nuanced culpability assessments.</t>
  </si>
  <si>
    <t>DeepOntoAccident, Hybrid deep learning-ontology, Traffic accident resolution, Damage detection, Culpability reasoning, Semantic reasoning, SWRL rules</t>
  </si>
  <si>
    <t>To address the problem of dense crowd face detection in complex environments, this paper proposes a face detection model named Deep and Compact Face Detection (DCFD), which adopts an improved lightweight EfficientNetV2 network to replace the backbone network of RetinaFace. In the dense pedestrian face detection task, owing to the unbalanced distribution of face and nonface samples in the dataset, the traditional cross-entropy loss function performs poorly in the face of this problem. To address this challenge, we introduce the focal loss function, which is unique in its ability to adaptively focus on difficult samples.</t>
  </si>
  <si>
    <t>Dense pedestrian, Face detection, RetinaFace, EfficientNet, NAS-FPN, Focal loss, Complex environments</t>
  </si>
  <si>
    <t>Large-scale object detection, Benchmark construction, Algorithm evaluation, Performance metrics, Unified framework</t>
  </si>
  <si>
    <t>Multispectral pedestrian detection has received increasing attention in recent years as color and thermal modalities can provide complementary visual information, especially under insufficient illumination conditions. However, there is still a persistent crucial problem that how to design the cross-modality fusion mechanism to fully exploit the complementary characteristics between different modalities. In this paper, we propose a novel cross-modality complementary information fusion network (denoted as CCIFNet) to comprehensively capture the long-range interactions with precise positional information and meanwhile preserve the inter-spatial relationship between different modalities in the feature extraction stage. Further, we design an adaptive illumination-aware weight generation module to adaptively weight the final detection confidence of color and thermal modalities by taking various illumination conditions into consideration. Specifically, we comprehensively compare three different fusion strategies about this module to synthetically explore the best way for generating the final illumination-aware fusion weights. Finally, we present a simple but effective feature alignment module to alleviate the position shift problem caused by the weakly aligned color-thermal image pairs. Extensive experiments and ablation studies on KAIST, CVC-14, FLIR and LLVIP multispectral object detection datasets show that the proposed CCIFNet can achieve state-of-the-art performance under different illumination evaluation settings, while keeping a competitive speed-accuracy trade-off for real-time applications.</t>
  </si>
  <si>
    <t>Multispectral pedestrian detection, Cross-modality fusion, CCIFNet, Illumination-aware weighting, Feature alignment, Thermal-color fusion</t>
  </si>
  <si>
    <t>Abnormal behavior detection in dense crowd, during the Hajj pilgrimage is vital to public security. Existing approaches face challenges due to factors like occlusions, illumination variations, and uniform attire. This research introduces the Crowd Anomaly Detection Framework (CADF), an improved YOLOv8-based model, integrating Soft-NMS to improve detection accuracy under complex conditions.</t>
  </si>
  <si>
    <t>YOLOv8, Crowd anomaly detection, Abnormal behavior, Hajj pilgrimage, Soft-NMS, Dense crowds, Occlusion handling</t>
  </si>
  <si>
    <t>Multimodal image registration and fusion are crucial in computer vision, particularly for infrared and visible image processing. However, existing deep learning-based methods face significant challenges: registration approaches struggle with cross-modal feature matching as they are confined to a single-image domain, while fusion techniques often suffer from information loss. To address these issues, we propose a Dual-Pyramid Framework for Robust Infrared-Visible Image Registration and Fusion (DPRF). Our approach utilizes a Gaussian-Dictionary Dual Encoding Residual Deformation Field Registration Network (GDFR-Net) for accurate cross-modal registration. GDFR-Net jointly optimizes feature learning in both the image and dictionary domains, mitigating modality differences. A layer-wise residual deformation field estimation strategy further refines registration accuracy. For fusion, we introduce the Laplacian Pyramid and Dictionary Learning-based Multi-scale Feature Fusion Network (LPDF-Net). LPDF-Net integrates Laplacian pyramid decomposition with convolutional dictionary learning to adaptively reconstruct low-frequency components, preserving infrared saliency and visible contrast. Meanwhile, a dynamic weighting mechanism enhances high-frequency details, ensuring sharp textures and structural integrity. Extensive experiments demonstrate the state-of-the-art performance of our DPRF, effectively reducing misalignment artifacts and producing visually natural fused images, underscoring its potential for real-world applications. The source code for the DPRF is publicly available at https://github.com/fdaijdfina/DPRF.</t>
  </si>
  <si>
    <t>Infrared-visible registration, Image fusion, Dual-pyramid framework, Convolutional dictionary learning, GDFR-Net, LPDF-Net, Multi-scale fusion</t>
  </si>
  <si>
    <t>The thriving development of big data has provided powerful techniques for pedestrian counting and monitoring in public places, which has attracted great attention. Current pedestrian counting solutions based on computer vision and sensors have privacy leakage issues and cost issues. As a wireless technique, millimeter wave has diverse application scenarios because of its advantages of safety, cheapness and stability. In this paper, we propose a novel system to realize pedestrian counting leveraging millimeter wave. Based on the point cloud data collected by radar, we design an efficient denoising algorithm based on the point cloud distribution and transform the problem into a multi-classification task, and then extract features from pedestrian trajectories to form a series of density maps describing pedestrians’ movement information. We also propose a classifier model mmCountNet to accurately predict the pedestrian and build a data set containing 2000 samples for model training. The experiment results show that the accuracy of the proposed system is 95.92% in the Single-Crowd testing, and 91.35% in the Multi-Crowds testing, which basically achieves the purpose of pedestrian counting.</t>
  </si>
  <si>
    <t>Millimeter wave, Pedestrian counting, Point cloud denoising, Density maps, mmCountNet, Privacy-preserving monitoring</t>
  </si>
  <si>
    <t>Unable to retrieve abstract due to access restrictions.</t>
  </si>
  <si>
    <t>AI-enhanced legal services, Data protection, Ethical considerations, Privacy challenges, Innovation in law</t>
  </si>
  <si>
    <t>No abstract available. The paper examines the extent to which the EU AI Act and GDPR address ethical concerns like bias, privacy, accuracy, and accountability in automated crowd analysis. It reviews regulations, identifies remaining concerns (e.g., notification infeasibility in crowds, behavior prediction biases, human-in-the-loop errors), and provides recommendations such as crowd-level analysis, detection over prediction, and contextual ethical considerations.</t>
  </si>
  <si>
    <t>AI Act, GDPR, Crowd analysis, Ethical concerns, Privacy, Bias, Accountability, Automated systems</t>
  </si>
  <si>
    <t>Ethical AI, Industry involvement, AI ethics research, Collaboration, Practical implementation</t>
  </si>
  <si>
    <t>The growing deployment of artificial intelligence (AI) across critical sectors such as healthcare [1,2], finance [3], agriculture [4], business [5], environmental sustainability [6], education [7], governance or through super intelligent innovations [8] has intensified calls for “Responsible AI”, a normative vision grounded in principles like fairness, transparency, accountability, privacy, safety, and value alignment. These principles are often framed as concrete, attainable benchmarks, underpinning ethical guidelines, technical standards, and public expectations. However, blending this vision with the complex realities of sociotechnical AI systems reveals a more fragile foundation shaped as much by tension and contradiction as by aspiration. In this context, sociotechnical systems foster a multifaceted interaction between relevant user stakeholders and the technical and tangible components (data, algorithms, and system interfaces), all of which are operationalised to align with the social constructs (cultures, customs, and values) and specificities of the user communities [9]. Recent empirical reviews like [10] underscore how algorithmic distortion and discrimination can entrench, rather than remedy, existing social inequalities [11]. Simultaneously, efforts to design comprehensive oversight frameworks struggle to keep pace with rapid technological advancement and messy, real-world deployments, thereby highlighting the urgent need for adaptive supervisory mechanisms [12]. Similarly, policy responses such as the European Union’s Artificial Intelligence Act [13] illustrate these contradictions vividly. Although the Act seeks to encode principles of fairness, transparency, accountability, privacy, safety, and value alignment into law, its implementation has revealed persistent challenges in enforceability and interpretability, particularly in defining risk categories, ensuring compliance across diverse sectors, and managing the gap between high-level principles and technical application. Governance dilemmas become even more acute as AI systems move from controlled research settings into high-stakes, real-world applications, where entrenched institutional and infrastructural vulnerabilities often escape the reach of conventional risk-management frameworks [14]. This landscape suggests that Responsible AI frameworks may be operating on unstable terrain. They frequently presume that ethical ideals can be systematically realised within sociotechnical environments marked by complexity, unpredictability, and deep-seated human and institutional biases. Such conditions prompt a critical question: Are the pillars of Responsible AI built on solid foundations, or are they, in practice, constructed on sand? At its core, Responsible AI aspires to mitigate the social, ethical, and technical risks associated with increasingly autonomous systems [15]. Frameworks proposed by organisations such as the European Commission [16], UNESCO [17], and IEEE [18] outline comprehensive lists of principles intended to guide the design, deployment, and governance of AI technologies. While the structural risk dynamics inherent in artificial intelligence systems require careful navigation to prevent abuse and guarantee safety [19], these principles have gained widespread acceptance across policy, industry, and academic discourse. However, the near-consensus on what values AI systems should embody often obscures critical questions about whether and how these values can be meaningfully operationalised. In practice, attempts to instantiate Responsible AI ideals encounter not only technical limitations but also epistemic uncertainties, sociocultural divergences, and shifting political contexts. Each principle is subject to multiple interpretations and trade-offs, and these become especially visible when AI systems interact with existing institutional biases, uneven power dynamics, and pluralistic moral norms. This research undertakes a critical examination of the fragility of Responsible AI’s foundational pillars within contemporary sociotechnical systems. Each principle, fairness, transparency, accountability, privacy, safety, and value alignment, is analysed in turn, drawing on established frameworks such as Fairness in Machine Learning [20], Explainable AI [21], algorithmic accountability and Accountability for Reasonableness [22,23], human rights-based approaches to AI [24], and value-sensitive design [25]. These frameworks help expose the conceptual contradictions and operational challenges that undermine the consistent and coherent realisation of Responsible AI in practice. These challenges are not merely implementation issues but reflect deeper structural tensions within human and technological systems. Building on this critique, the study proposes a reconceptualisation of Responsible AI as a dynamic, negotiated process of continuous human–machine co-adaptation, one that calls for reflexivity, adaptability, and ethical humility in the design and governance of AI, offering a more resilient framework for future innovation. The central research question guiding this inquiry is: Can the core values of Responsible AI, such as fairness, transparency, accountability, privacy, safety, and value alignment, be meaningfully defined and implemented within the complexity of contemporary sociotechnical systems? Rather than offering yet another framework or toolkit, this research interrogates the foundational assumptions underlying existing approaches to Responsible AI. By critically examining the internal contradictions and structural limits of each principle, the analysis reveals these pillars to be less solid than commonly assumed. This contribution is both conceptual and practical: it deepens theoretical understanding of Responsible AI as a sociotechnical construct and provides a new lens for researchers, practitioners, and policymakers navigating the ethical complexity of real-world AI. Ultimately, this research advocates for a shift from checklist-based responsibility toward a more adaptive, participatory, and reflexive approach, one that better accounts for uncertainty, diversity, and the evolving nature of human–machine interaction. To support this argument, the article proceeds as follows. Section 2 provides a critical analysis of the six core pillars of Responsible AI, examining the conceptual and practical fragilities of fairness, transparency, accountability, privacy, safety, and value alignment. Section 3 offers a reframing of Responsible AI as a negotiated, evolving process situated within sociotechnical complexity. Section 4 discusses the broader implications of this perspective for researchers, developers, and policymakers. Finally, Sect. 5 concludes by summarising the key insights and identifying directions for further inquiry in the pursuit of more resilient and reflective AI governance.</t>
  </si>
  <si>
    <t>Responsible AI, Sociotechnical systems, Ethical pillars, Fairness, Transparency, Accountability, Privacy, Safety, Value alignment, AI governance</t>
  </si>
  <si>
    <t>Patient privacy, Data handling, AI in radiology, Cardiovascular imaging, Ethical considerations, Data protection</t>
  </si>
  <si>
    <t>Egypt’s 2024 national strategy on the ethical use and development of artificial intelligence (AI) represents a significant milestone in aligning technological advancement with international human rights and responsible innovation principles. While the strategy articulates commendable ethical pillars—such as transparency, privacy, and accountability—it remains largely aspirational in nature, with limited provisions for enforcement, sector-specific guidance, or public engagement. This paper presents a structured qualitative policy analysis of the strategy, identifying twelve key governance gaps through a comparative review method grounded in international frameworks (e.g., UNESCO, EU AI Act, Canada’s Directive on Automated Decision-Making) and regional strategies from the UAE, Saudi Arabia, and South Africa. Additionally, an embedded case study from Egypt’s healthcare sector highlights the practical implications of these policy shortcomings. Key gaps include the absence of legal mandates, exclusion of informal sector needs, limited data sovereignty, and a lack of gender-responsive AI auditing. To address these challenges, the study proposes actionable reforms including the establishment of an independent AI ethics regulator, the adoption of sector-specific ethical toolkits, and the integration of AI ethics into Egypt’s Vision 2030 and national education system. This research offers one of the first academic assessments of Egypt’s AI ethics framework and contributes to a growing body of literature on responsible AI governance in the Global South.</t>
  </si>
  <si>
    <t>Ethical AI strategy, Egypt AI policy, Governance gaps, Responsible innovation, AI ethics in Global South, Policy analysis, Sector-specific guidance</t>
  </si>
  <si>
    <t>The circular economy (CE) is an economic model aimed at sustainability by designing out waste and keeping products and materials in continuous use (Roberts et al. [2024]). Unlike the traditional linear “take-make-dispose” model, a circular approach seeks to reduce resource extraction, reuse and recycle materials, and regenerate natural systems. Over the past decade, CE principles have gained traction as a strategy to address climate change, resource depletion, and pollution. At the same time, advances in artificial intelligence (AI) and data analytics have opened new possibilities to accelerate the transition to a CE (ReLondon [2023]; Bashynska et al. [2024a, b]). AI can help optimize complex supply chains, enable product life extension through predictive maintenance, improve waste sorting and recycling with computer vision, and facilitate circular business models such as product-as-a-service and sharing platforms (Pathan et al. [2023]; Rahman [2023]; Lund et al. [2024]). In essence, AI is viewed as a crucial enabler for CE, capable of handling the scale and complexity of circular systems that rely on real-time data and interconnected decisions. For example, the Ellen MacArthur Foundation and Google reported that AI could unlock new opportunities in designing out waste and managing materials more effectively in food, mobility, and other sectors (Ellen MacArthur Foundation &amp; Google [2019]). However, alongside this optimism, there is a growing recognition that ethical implications of using AI in CE contexts have been under-examined (Manheim et al. [2025]). Initial applications often focused on technical feasibility and environmental outcomes, with less attention to how AI might introduce new risks to privacy, fairness, or labor practices in a CE. Recent scholarship has begun to address this gap. For instance, Roberts et al. (2024) argue that while AI can aid circularity, it also amplifies certain ethical risks and societal challenges if deployed without safeguards. Similarly, Hoyng (2023) questions the “smart circular economy” narrative by examining how data-centric, algorithmically mediated processes could displace traditional notions of corporate responsibility and transparency in waste management. These perspectives highlight that if AI is applied to CE without ethical foresight, it may inadvertently undermine public trust or worsen inequities, thereby slowing the adoption of circular solutions in practice (Zhou et al. [2020]; Osasona et al. [2024]). Such unaddressed ethical issues can lead to severe consequences from multiple perspectives. From a public/societal perspective, this may manifest as a loss of trust in green technologies, privacy violations from extensive data collection, the exacerbation of existing inequalities (e.g., in access to circular services or benefits), and job displacement without adequate retraining. Furthermore, a lack of AI transparency can lead to greenwashing, where sustainability claims are not verifiable. For governments and regulatory bodies, these issues pose significant challenges in designing effective policies, monitoring compliance, and mitigating systemic risks if AI errors lead to large-scale environmental or social harm. From the standpoint of private companies and industries, unaddressed ethical concerns can result in severe reputational damage, increased legal liabilities, reduced consumer adoption of circular products and services, and a failure to achieve stated sustainability goals, ultimately decreasing investment in AI for CE due to ethical concerns. Collectively, these multifaceted consequences can significantly hinder the broader transition to a circular economy, diminish the anticipated societal and environmental benefits of AI, and undermine public confidence in technological solutions for sustainability. While general AI ethics principles and frameworks (e.g., FATE principles, EU AI Act) provide a crucial foundation, simply applying them is often insufficient. The unique operational complexities, stakeholder interdependencies, and systemic impacts inherent to the CE context introduce specific nuances and can amplify certain ethical challenges. For example, issues such as data ownership in industrial symbiosis, algorithmic bias affecting resource allocation decisions, and accountability for the full life-cycle impacts of AI-driven circular products demand tailored ethical considerations that go beyond generic AI ethics discourse. This review paper aims to provide a comprehensive survey of the ethical aspects of AI use in the CE, synthesizing recent academic literature, case studies, and policy frameworks. We focus on several key themes: the transparency and explainability of AI algorithms used in circular systems; data-related issues such as privacy and bias; impacts on labor and employment as processes become more automated and data-driven; the imperatives of responsible AI deployment under emerging guidelines; and the importance of human-in-the-loop governance for accountability. We also discuss how these ethical issues influence the real-world adoption of CE initiatives—for example, whether stakeholders accept or resist AI-driven circular innovations, and how policy responses shape this dynamic. By examining cross-cutting ethical challenges, we seek to inform more responsible integration of AI in CE models that balances innovation with societal values. The remainder of the paper is structured as follows. The next section outlines the methodology and approach for our literature review and analysis. We then dedicate a section to each of the main ethical themes, drawing on current research and examples. A subsequent section presents case study insights to ground the ethical discussion in real-world scenarios. We then provide a discussion on the implications of these ethical aspects for adoption of CE principles, and highlight intersections with policy frameworks such as the EU AI Act and OECD AI Principles. Finally, we offer conclusions and recommendations, pointing toward pathways for aligning AI ethics with the CE in both research and practice.</t>
  </si>
  <si>
    <t>Circular economy, AI ethics, Transparency, Privacy, Bias, Labor impacts, Responsible AI, Sustainability, Governance</t>
  </si>
  <si>
    <t>EU regulatory ecosystem, Ethical AI, AI governance, Policy framework, Compliance</t>
  </si>
  <si>
    <t>The chapter investigates ethical and privacy concerns resulting from digitalization and datafication in the Global South, drawing from a systematic literature review. It emphasizes the risks of exploitation and privacy violations due to inadequate data protection laws in these regions, advocating for collaborative efforts and ethical guidelines to tackle these challenges. The insights provided are essential for policymakers and practitioners in addressing ethical and privacy issues in Global South countries.</t>
  </si>
  <si>
    <t>Datafication, Digitalization, Global South, Ethical implications, Privacy concerns, Data protection, Systematic review</t>
  </si>
  <si>
    <t>Poster: Do Privacy-Preserving Obfuscation Techniques Degrade the Accuracy of Odometry?</t>
  </si>
  <si>
    <t>10.1145/3636534.3697459</t>
  </si>
  <si>
    <t>Privacy-preserving Motion Detection for HEVC-compressed Surveillance Video</t>
  </si>
  <si>
    <t>10.1145/3472669</t>
  </si>
  <si>
    <t>Mobility Data-Driven Privacy-Preserving Model for Detecting High-Risk Infection Cases</t>
  </si>
  <si>
    <t>10.1145/3742789</t>
  </si>
  <si>
    <t>Learnable Privacy-Preserving Anonymization for Pedestrian Images</t>
  </si>
  <si>
    <t>10.1145/3503161.3548766</t>
  </si>
  <si>
    <t>Privacy-Preserving Intrusion Detection System for Internet of Vehicles using Split Learning</t>
  </si>
  <si>
    <t>10.1145/3632366.3632388</t>
  </si>
  <si>
    <t>Location Privacy Schemes in Vehicular Networks: Taxonomy, Comparative Analysis, Design Challenges, and Future Opportunities</t>
  </si>
  <si>
    <t>10.1145/3711681</t>
  </si>
  <si>
    <t>PIPE: Privacy-preserving 6DoF Pose Estimation for Immersive Applications</t>
  </si>
  <si>
    <t>10.1145/3715014.3722069</t>
  </si>
  <si>
    <t>AST: Annulus Swin Transformer For Pedestrians Detection Under Top-view Fisheye Image</t>
  </si>
  <si>
    <t>10.1145/3633637.3633664</t>
  </si>
  <si>
    <t>PixelFade: Privacy-preserving Person Re-identification with Noise-guided Progressive Replacement</t>
  </si>
  <si>
    <t>10.1145/3664647.3681262</t>
  </si>
  <si>
    <t>Privacy of Groups in Dense Street Imagery</t>
  </si>
  <si>
    <t>Nikolaos Ntokos, Nahin Kumar Dey, Jiayi Meng, Faysal Hossain Shezan</t>
  </si>
  <si>
    <t>Prior works have investigated various privacy-preserving techniques to protect those sensitive data. However, it is still unclear about the impact of such approaches on the accuracy of odometry. In this work, we investigate the impact of various privacy-preserving obfuscation techniques on the accuracy of monocular visual odometry.</t>
  </si>
  <si>
    <t>Privacy-preserving obfuscation, Odometry accuracy, Visual odometry, Monocular systems, Sensitive data protection</t>
  </si>
  <si>
    <t>Xiaojing Ma, Guoqiang Zhang, Yongxiang Huang</t>
  </si>
  <si>
    <t>Privacy-preserving video surveillance allows motion detection while protecting privacy. The existing scheme designed to detect motion on encrypted and H.264-compressed surveillance videos does not work well on more advanced video compression schemes such as HEVC. In this paper, we propose an efficient and robust privacy-preserving motion detection and multiple object tracking scheme for encrypted surveillance video bitstreams. By analyzing the properties of the video codec and format-compliant encryption schemes, we propose a new compressed-domain feature to capture motion information in complex surveillance scenarios. The experimental results demonstrate that our scheme achieves the best detection and tracking performance compared with existing works in the encrypted and compressed domain. Our scheme can be effectively used in complex surveillance scenarios with different challenges, such as camera movement/jitter, dynamic background, and shadows.</t>
  </si>
  <si>
    <t>Privacy-preserving motion detection, HEVC compression, Surveillance video, Encrypted video processing, Object tracking</t>
  </si>
  <si>
    <t>Wenjie Fu, Zhiyuan Liu, Jiajun Liu, Yanjie Wang, Bo Li, Carl Yang</t>
  </si>
  <si>
    <t>In the past few years, infectious diseases like COVID-19 have caused serious distress to the global society and the economy. To prevent its spread, the early detection and assessment of infectious diseases based on molecular tests or antigen testing of individuals are crucial. Fortunately, with the rapid development of mobile localization and web techniques, the collected massive mobile trajectory data provide a promising solution for detecting positive cases. However, existing mobility data-driven infection case detection methods are limited in terms of modeling the complicated epidemic spreading processes and preserving user privacy of the mobility data. In this article, we propose a novel graph convolutional networks (GCN) model for detecting high-risk infection cases, where we incorporate a spatio-temporal hypergraph to model the complex interaction of individuals. Then, we elaborately design a privacy-preserving framework tightly coupled with the structure of the spatio-temporal hypergraph, which includes a mobility data obfuscation module to protect privacy and an accompanying confidence-aware mechanism to mitigate the consequent performance decline.</t>
  </si>
  <si>
    <t>Mobility data, Privacy-preserving model, Infection detection, Graph convolutional networks, Spatio-temporal hypergraph, COVID-19</t>
  </si>
  <si>
    <t>Junwu Zhang, Hao Zhu, Wei-Shi Zheng</t>
  </si>
  <si>
    <t>This paper studies a novel privacy-preserving anonymization problem for pedestrian images, which preserves personal identity information (PII) for authorized models and prevents PII from being recognized by third parties. Conventional anonymization methods unavoidably cause semantic information loss, leading to limited data utility. To retain the data utility for various users, the original raw images should be able to be recovered from the protected images for authorized utility, e.g., for police officers to investigate crime. Moreover, considering person re-identification (Re-ID) is imperative in intelligent surveillance systems with significant research impact and practical importance, the anonymized images are supposed to retain necessary information for researchers to perform Re-ID tasks. In summary, an ideal anonymization method for pedestrian images should be reliable for privacy security, reversible for authorized utility and suitable for person re-identification research.</t>
  </si>
  <si>
    <t>Privacy-preserving anonymization, Pedestrian images, Personal identity information, Person re-identification, Semantic preservation</t>
  </si>
  <si>
    <t>Not explicitly listed; inferred from context: Likely includes authors from IEEE/ACM BDCAT 2024 proceedings</t>
  </si>
  <si>
    <t>Traditional intrusion detection systems (IDS) transfer large amounts of raw data to central servers, leading to potential privacy concerns. Also, training IDS on resource-constrained IoV devices generally can result in slower training times and poor service quality. To address these issues, we propose a split learning-based privacy-preserving IDS that deploys IDS on edge devices without sharing sensitive raw data.</t>
  </si>
  <si>
    <t>Split learning, Intrusion detection, Internet of Vehicles, Privacy-preserving, Edge computing</t>
  </si>
  <si>
    <t>Ikram Ullah, Munam Ali Shah, Abid Khan, Mohsen Guizani</t>
  </si>
  <si>
    <t>Vehicular ad-hoc networks (VANETs) have revolutionized the world with smart traffic management, better utilizing the road environment, and providing safety and convenience to the vehicles’ drivers. Despite the useful features of VANETs, there are some security and privacy issues. Among them, location privacy is the most critical issue. In this article, we thoroughly review the existing location privacy schemes and present their comprehensive taxonomy. We discuss the design challenges for the development of an efficient location privacy scheme. Moreover, the existing location privacy techniques are critically analyzed based on diverse road network environments and parameters. Various issues and challenges regarding the pseudonym-changing process are elaborated in detail. Finally, we discuss the future trends for the implementation of location privacy in a vehicular network.</t>
  </si>
  <si>
    <t>Location privacy, Vehicular networks, VANETs, Pseudonym changing, Taxonomy, Design challenges</t>
  </si>
  <si>
    <t>Nan Wu, Ruizhi Cheng, Songqing Chen, Bo Han</t>
  </si>
  <si>
    <t>Image-based mapping and localization offer six degrees of freedom (6DoF) pose estimation for immersive applications. This is achieved by matching, on a server, 2D visual features extracted from a mobile device's camera view and 3D features stored in a map. While effective, this process may lead to privacy breaches (e.g., exposure of sensitive information captured by camera views). To address this challenge, we propose PIPE, a privacy-preserving 6DoF pose estimation system that performs feature matching on encrypted images. PIPE consists of three components: (1) a lightweight image encryption module that encrypts camera views while preserving essential visual features, (2) a privacy-preserving feature extraction module that extracts features from encrypted images, and (3) a secure feature matching module that matches encrypted features against the map. We implement and evaluate PIPE on commodity mobile devices and servers. Experimental results show that PIPE achieves comparable accuracy to state-of-the-art systems while providing strong privacy guarantees.</t>
  </si>
  <si>
    <t>Privacy-preserving pose estimation, 6DoF, Immersive applications, Feature matching, Image encryption</t>
  </si>
  <si>
    <t>Congcong Lu, Xin Wei, Xiaolu Lu</t>
  </si>
  <si>
    <t>Top-view fisheye cameras are widely used in intelligent transportation systems due to their wide field of view. However, the severe distortion in fisheye images poses a significant challenge for pedestrian detection. To address this issue, we propose the Annulus Swin Transformer (AST) for pedestrian detection in top-view fisheye images. AST introduces an Annulus Position Coding (APC) module and an Annulus Window Attention (AWA) mechanism to capture the radial distortion characteristics of fisheye images. Due to the varying degree of distortion of images within each annulus, APC introduces an annulus position to work with Annulus window based on the original position encoding, enabling it to contain annulus position information. The experimental results on the dataset SEU-fisheye show that our method improves the neural network’s performance markedly.</t>
  </si>
  <si>
    <t>Annulus Swin Transformer, Pedestrian detection, Top-view fisheye image, Distortion handling, Attention mechanism</t>
  </si>
  <si>
    <t>Delong Zhang, Yi-Xing Peng, Xiao-Ming Wu, Ancong Wu, Wei-Shi Zheng</t>
  </si>
  <si>
    <t>Online person re-identification services face privacy breaches from potential data leakage and recovery attacks, exposing cloud-stored images to malicious attackers and triggering public concern. The privacy protection of pedestrian images is crucial. Previous privacy-preserving person re-identification methods are unable to resist recovery attacks and compromise accuracy. In this paper, we propose an iterative method (PixelFade) to optimize pedestrian images into noise-like images to resist recovery attacks. We first give an in-depth study of protected images from previous privacy methods, which reveal that the chaos of protected images can disrupt the learning of recovery models. Accordingly, Specifically, we propose Noise-guided Objective Function with the feature constraints of a specific authorization model, optimizing pedestrian images to normal-distributed noise images while preserving their original identity information as per the authorization model. This strategy not only safeguards that original pixels are replaced with noises to protect privacy, but also guides the images towards an improved optimization direction to effectively preserve discriminative features. Extensive experiments demonstrate that our PixelFade outperforms previous methods in resisting recovery attacks and Re-ID performance.</t>
  </si>
  <si>
    <t>Privacy-preserving Re-ID, Noise-guided replacement, Pixel fading, Recovery attacks, Pedestrian images</t>
  </si>
  <si>
    <t>Shuai Ren</t>
  </si>
  <si>
    <t>Multi-camera association tracking algorithm for pedestrian target based on difference image</t>
  </si>
  <si>
    <t>10.1016/j.sasc.2025.200282</t>
  </si>
  <si>
    <t>Differential image; Pedestrian targets; Multi-camera device; DeepSORT algorithm; Association tracking algorithm</t>
  </si>
  <si>
    <t>Valeriu-Daniel Stanciu; Maarten van Steen; Ciprian Dobre; Andreas Peter</t>
  </si>
  <si>
    <t>Privacy-friendly statistical counting for pedestrian dynamics</t>
  </si>
  <si>
    <t>10.1016/j.comcom.2023.09.009</t>
  </si>
  <si>
    <t>Crowd monitoring; Pedestrian dynamics; Statistical counting; Privacy-preservation; Bloom filters; Homomorphic encryption</t>
  </si>
  <si>
    <t>Yan Li; Yang Zhan; Maohan Liang; Yu Zhang; Jinhao Liang</t>
  </si>
  <si>
    <t>UPTM-LLM: Large Language Models-Powered Urban Pedestrian Travel Modes Recognition for Intelligent Transportation System</t>
  </si>
  <si>
    <t>10.1016/j.asoc.2025.113999</t>
  </si>
  <si>
    <t>ITS; UPTM; POI; GPS; LLMs</t>
  </si>
  <si>
    <t>Hongliu Li; Jacqueline Tsz Yin Lo</t>
  </si>
  <si>
    <t>A review on the use of top-view surveillance videos for pedestrian detection, tracking and behavior recognition across public spaces</t>
  </si>
  <si>
    <t>10.1016/j.aap.2025.107986</t>
  </si>
  <si>
    <t>Pedestrian detection; Pedestrian tracking; Behavior recognition; Transport hub safety; Top-view surveillance</t>
  </si>
  <si>
    <t>Masakazu Ohno; Riki Ukyo; Tatsuya Amano; Hamada Rizk; Hirozumi Yamaguchi</t>
  </si>
  <si>
    <t>Privacy-preserving pedestrian tracking with path image inpainting and 3D point cloud features</t>
  </si>
  <si>
    <t>10.1016/j.pmcj.2024.101914</t>
  </si>
  <si>
    <t>LiDAR; Multi-person tracking; Diffusion model; Privacy</t>
  </si>
  <si>
    <t>Roberto Ventura; Stella Roussou; Apostolos Ziakopoulos; Benedetto Barabino; George Yannis</t>
  </si>
  <si>
    <t>Using computer vision and street-level videos for pedestrian-vehicle tracking and behaviour analysis</t>
  </si>
  <si>
    <t>10.1016/j.trip.2025.101366</t>
  </si>
  <si>
    <t>Vehicle tracking; Homography; Time-to-Collision; Kalman filtering; Re-identification; Pedestrian behaviour</t>
  </si>
  <si>
    <t>Feifeng Jiang; Jun Ma</t>
  </si>
  <si>
    <t>Graph-based machine learning for high-resolution assessment of pedestrian-weighted exposure to air pollution</t>
  </si>
  <si>
    <t>10.1016/j.resenv.2025.100219</t>
  </si>
  <si>
    <t>Pedestrian exposure; Graph network; ML; Pedestrian activity; Air quality; Geospatial analysis</t>
  </si>
  <si>
    <t>The current pedestrian target tracking algorithm (such as adjacent frame matching target tracking algorithm, deep learning YOLOv5 algorithm, etc.) ignores pedestrian foreground image segmentation, resulting in significant errors in pedestrian target tracking and insufficient tracking results. Therefore, a multi-camera association tracking algorithm for pedestrians and targets based on differential images is designed. Multi-camera devices are used to collect pedestrian video sequence images, and the key frame difference image sample set is extracted. The initial background of the pedestrian image is modeled, and the foreground image is differentially segmented to construct the initial model of the differential image. The DeepSORT algorithm is used to complete the multi-pedestrian target association. The pedestrian target obeys the Laplacian random variable probability density function, and moves according to the center position of the bounding box to ensure that the target tends to move around the starting position, and realizes the multi-camera association tracking. The research method achieved maximum MOTA and MOTP values of 18.87 % and 99.22 % under different experimental times, demonstrating good association tracking ability. Moreover, the maximum comprehensive index of multiple pedestrian target association results approached 100 %, while the minimum value far exceeded 95 %. The tracking comprehensiveness and trajectory interruption rate of the research method were 98 % and 1.2 %, respectively, which were significantly better than other comparison algorithms. The processing speed reached 25FPS, effectively balancing computational efficiency. The experimental results verify that the proposed algorithm has ideal application effects.</t>
  </si>
  <si>
    <t xml:space="preserve"> Relying on Wi-Fi signals broadcasted by smartphones became the de-facto standard in the domain of pedestrian crowd monitoring. This method got the edge over other traditional means owing to the fact that insights are built upon data which uniquely identifies individuals and, thus, allows highly accurate crowd profiling over time. On the other hand, handling such uniquely identifying data in such a way that it does not expose the sensed individuals to potential privacy infringements proves to be a difficult task. Although several protection techniques were proposed, they yield data which, combined with other external knowledge, can still be used for tracing back to specific individuals. To address this issue, we propose a construction which protects the short-term storage and processing of privacy-sensitive Wi-Fi detections under strong cryptographic guarantees and makes available in the clear, as end results, only statistical counts of crowds. To produce these statistical counts, we make use of homomorphically encrypted Bloom filters as facilitators for oblivious set membership testing under encryption. We implement the system and perform evaluation on both simulated data and a real-world crowd-monitoring dataset, demonstrating that it is feasible to achieve highly accurate statistical counts in a privacy-friendly way.</t>
  </si>
  <si>
    <t xml:space="preserve"> With the progression of urbanization and information technology, Intelligent Transportation Systems (ITS) are increasingly crucial for improving urban efficiency and reducing traffic congestion. A key element within ITS is Urban Pedestrian Travel Mode (UPTM) recognition, which aids traffic management through data-driven optimization and congestion mitigation. Deep learning (DL) has advanced transportation research but struggles with the complex semantics of pedestrian movement, including temporal context (e.g., peak/off-peak hours, workdays/weekends), origin-destination POI categories, and the underlying characteristics of GPS trajectories (encompassing kinematics and GIS features). The emergence of large language models (LLMs), known for their large-scale parameters and deep architectures, has enhanced the capacity to interpret such complex semantics. Leveraging this capability, we propose UPTM-LLM, a novel framework that significantly improves UPTM recognition accuracy. It integrates: (1) a temporal awareness module for interpreting time-related traits, (2) a POI Embedding Network (PEN) encoding semantic features of POIs, and (3) a Trajectory Embedding Network (TEN) extracting kinematic and GIS features. Experimental comparisons show that UPTM-LLM outperforms classical models, offering a robust solution for fine-grained UPTM recognition and contributing to more effective urban transportation analytics and planning.</t>
  </si>
  <si>
    <t>The use of top-view surveillance cameras has been considered as the feature to maintain uncovered view and privacy protection in public buildings like stations and traffic hubs. This study aims to provide a comprehensive review on recent developments and challenges related to the use of top-view surveillance videos in public places. The techniques using top-view images in pedestrian detection, tracking and behavior recognition are reviewed, specifically focusing on their influence on crowd control and safety management. The setup of top-view cameras and the characteristics of several available datasets are introduced. The methodologies, field of view, extracted features, region of interest, color space and used datasets for key literature are consolidated. This study contributes by identifying key advantages of top-view cameras, such as their ability to reduce occlusions and preserve privacy, while also addressing limitations, including restricted field of view and the challenges of adapting algorithms to this unique perspective. We highlight knowledge gaps in leveraging top-view cameras for transport hubs, such as the need for advanced algorithms and the lack of standardized datasets for dynamic crowd scenarios. Through this review, we aim to provide actionable insights for improving crowd management and safety measures in public buildings, especially transport hubs.</t>
  </si>
  <si>
    <t>Tracking pedestrian flow in large public areas is vital, yet ensuring privacy is paramount. Traditional visual-based tracking systems are raising concerns for potentially obtaining persistent and permanent identifiers that can compromise individual identities. Moreover, in areas such as the vicinity of restrooms, any form of data acquisition capturing human behavior should be refrained from, making it also crucial to appropriately address and complement these blind spots for a comprehensive analysis of pedestrian movement in the entire area. In this paper, we present our pedestrian tracking algorithm using distributed 3D LiDARs (Light Detection and Ranging), which capture pedestrians as 3D point clouds, omitting identifiable features. Our system bridges blind spots by leveraging historical movement data and 3D point cloud features, complemented by a generative diffusion model to predict trajectories in unseen areas. In a large-scale testbed with 70 LiDARs, the system achieved a 0.98 F-measure, highlighting its potential as a leading privacy-preserving tracking solution.</t>
  </si>
  <si>
    <t>The extraction and exploitation of Surrogate Safety Measures (SSMs) have gained prominence in recent years, aided by rapid emerging technologies. SSMs can be applied in all aspects of safety, enabling new insights for analysing road user behaviour. In this context, this paper presents an integrated framework for tracking pedestrians and vehicles in complex urban environments, with a focus on analysing behaviours in relation to the traffic light status and the computation of the Time-to-Collision (TTC). Utilising advanced computer vision object detection and the feature extraction models of YOLOv8 and ResNet-50, this framework integrates Kalman filtering, homography transformations, and object re-identification to achieve high accuracy. The data used for this study were roadside video recordings from the Athens centre (Greece). Notably, the results show accuracy rates of 50 % to 70 % in detecting traffic light statuses and identified a 23 % discrepancy on average between manual and automated counts of illegal crossings. One of the key strengths and contributions of the study is the utilisation and transformation of street-level data provided by smartphone camera recordings, which emphasise the ease of transferability of the proposed approach without the requirements of specialised, costly, or heavy equipment. The analysis of pedestrian compliance, particularly during intergreen phases, provides novel knowledge on pedestrian behaviour and highlights opportunities to improve intersection design for safety. This study underscores the potential of computer vision detection systems to provide reliable, real-time data that takes the road network conditions into account, ultimately contributing to safer urban traffic management and informed policy decisions.</t>
  </si>
  <si>
    <t xml:space="preserve"> Pedestrians are particularly vulnerable to air pollution due to their proximity to pollutant sources and elevated respiratory rates during physical activity, amplifying cumulative health risks. However, existing studies focus on concentration- or residence-based exposure assessment, overlooking the dynamic interaction between pollution patterns and pedestrian activity. This study therefore introduces a novel methodological framework to assess pedestrian-specific exposure to PM2.5 in diverse urban environments. Applied to New York City, the framework leverages graph-based machine learning to predict street-level PM2.5 concentrations from vehicle-sensed pollution data, while estimating high-resolution pedestrian volume derived from street view imagery and ground-truth count data. The results reveal significant divergences between traditional exposure assessments and pedestrian-specific exposure patterns, uncovering previously overlooked high-risk zones. High-exposure hotspots are not limited to areas with elevated pollution levels but also include locations where moderate pollution coincides with high pedestrian activity. This study also explores the spatial relationship between exposure patterns and urban vegetation coverage, providing actionable insights for targeted interventions. By bridging the gap between pollution dynamics and pedestrian activity, this research provides urban planners and policymakers with new insights for developing pedestrian-centered air quality management strategies, contributing to healthier and more sustainable urban environments.</t>
  </si>
  <si>
    <t>Real-time distributed video analytics for privacy-aware person search</t>
  </si>
  <si>
    <t>Bipin Gaikwad, Abhijit Karmakar</t>
  </si>
  <si>
    <t>https://doi.org/10.1016/j.cviu.2023.103749</t>
  </si>
  <si>
    <t>In this work, a novel distributed privacy-aware person search (PAPS) model has been proposed which circumvents the privacy risks. An intelligent IoT surveillance system has been designed to integrate the PAPS model for real-time distributed privacy-aware person search from surveillance videos. The proposed model eliminates the need to store or transmit the images/videos while performing person search, thereby addressing the privacy concerns. The proposed system is easily scalable with most processing at edge servers, minimal fog-processing, and very little cloud-processing. Evaluation on multiple datasets demonstrates state-of-the-art or competitive performance while maintaining real-time processing for practical scenarios.</t>
  </si>
  <si>
    <t>Person search; Person re-identification; Privacy; IoT; Smart surveillance; Distributed processing; Multi-camera systems</t>
  </si>
  <si>
    <t>Real-time Object Detection in Autonomous Vehicles with YOLO</t>
  </si>
  <si>
    <t>Nusaybah M. Alahdal, Felwa Abukhodair, Leila Haj Meftah, Asma Cherif</t>
  </si>
  <si>
    <t>https://doi.org/10.1016/j.procs.2024.09.392</t>
  </si>
  <si>
    <t>AI analytics enables autonomous cars to detect and recognize objects such as vehicles, pedestrians, and traffic signs in real-time. This paper introduces a novel dataset and methodology using self-supervised learning and adaptive model optimization with YOLOv5–v8. Evaluation shows YOLOv5 and YOLOv8 outperform YOLOv7, achieving high mean average precision (0.94 and 0.927) and fast inference speeds (1.3–3.3 ms/image), demonstrating improvements in dataset diversity and model robustness for autonomous vehicle detection.</t>
  </si>
  <si>
    <t>Smart city; Simulation environment; Deep learning; Artificial intelligence; YOLO; Object detection; Autonomous vehicles</t>
  </si>
  <si>
    <t>Privacy-by-design AIoT vision for intelligent urban environments</t>
  </si>
  <si>
    <t>Marija Ivanovska, Jakob Kreft, Vitomir Štruc, Janez Perš</t>
  </si>
  <si>
    <t>https://doi.org/10.1016/j.sysarc.2025.103586</t>
  </si>
  <si>
    <t>This paper introduces a privacy-by-design framework for AIoT-enabled intelligent urban systems. It proposes an embedded vision system that captures privacy-protected data and integrates anonymized data into AI vision pipelines. Experiments in a real-world urban monitoring use case show that the approach preserves privacy without compromising AI performance, ensuring strong privacy guarantees across edge-based computer vision applications.</t>
  </si>
  <si>
    <t>Privacy-by-design; AIoT; Embedded vision systems; Visual data anonymization; Intelligent urban systems; Privacy-preserving computer vision; Edge AI</t>
  </si>
  <si>
    <t>Visual privacy-preserving level evaluation for multilayer compressed sensing model using contrast and salient structural features</t>
  </si>
  <si>
    <t>Jixin Liu, Zheng Tang, Ning Sun, Guang Han, Sam Kwong</t>
  </si>
  <si>
    <t>https://doi.org/10.1016/j.image.2020.115996</t>
  </si>
  <si>
    <t>This study proposes an evaluation method (MCS-VPLE) for visual privacy-preserving levels in multilayer compressed sensing (MCS) images. It utilizes contrast and salient structural features extracted via asymmetric alpha-trimmed filters and local binary pattern operators, combined with support vector regression and fuzzy c-means clustering to derive privacy scores. Experimental results on three databases demonstrate superior prediction effectiveness and performance over conventional approaches.</t>
  </si>
  <si>
    <t>Multilayer compressed sensing; Privacy-preserving; Visual privacy-preserving level evaluation; Contrast feature; Salient structural feature</t>
  </si>
  <si>
    <t>Roberto Ventura, Stella Roussou, Apostolos Ziakopoulos, Benedetto Barabino, George Yannis</t>
  </si>
  <si>
    <t>https://doi.org/10.1016/j.trip.2025.101366</t>
  </si>
  <si>
    <t>This paper presents an integrated framework for tracking pedestrians and vehicles using YOLOv8, ResNet-50, Kalman filters, and homography transformations. Tested on urban street-level videos from Athens, it achieved 50–70% accuracy in traffic light status detection and improved behavior analysis for pedestrian compliance. The approach enables scalable, real-time safety analytics and low-cost deployment using smartphone camera recordings for urban intersections.</t>
  </si>
  <si>
    <t>Vehicle tracking; Homography transformation; Time-to-Collision estimation; Kalman filtering; Object re-identification; Pedestrian behaviour analysis</t>
  </si>
  <si>
    <t>Hiding from thermal imaging pedestrian detectors in the physical world</t>
  </si>
  <si>
    <t>Xiaopei Zhu, Xiao Li, Jianmin Li, Zheyao Wang, Xiaolin Hu</t>
  </si>
  <si>
    <t>https://doi.org/10.1016/j.neucom.2023.126923</t>
  </si>
  <si>
    <t>This paper proposes a physical adversarial attack using small light bulbs on a board to deceive thermal imaging pedestrian detectors (YOLOv3). The optimized Gaussian patch caused a 64.12% AP drop digitally and 34.48% in physical tests. The attack transferred effectively to other CNN detectors and worked against both thermal and visible-light pedestrian detection. Defense strategies were largely ineffective, underscoring the vulnerability of thermal imaging systems to adversarial physical attacks.</t>
  </si>
  <si>
    <t>Adversarial example; Physical adversarial attack; Object detection; Thermal imaging; Model ensemble; Adversarial defense</t>
  </si>
  <si>
    <t>WDFS-DETR: A Transformer-based framework with multi-scale attention for small object detection in UAV Engineering Tasks</t>
  </si>
  <si>
    <t>Jinjiang Liu, Yonghua Xie</t>
  </si>
  <si>
    <t>https://doi.org/10.1016/j.rineng.2025.105930</t>
  </si>
  <si>
    <t>Transformer-based detector; Small object detection; Embedded platforms; Multi-scale Feature Fusion; Jetson Orin Nano</t>
  </si>
  <si>
    <t>SO-YOLOv8: A novel deep learning-based approach for small object detection with YOLO beyond COCO</t>
  </si>
  <si>
    <t>Iqra, Kaisar Javeed Giri</t>
  </si>
  <si>
    <t>https://doi.org/10.1016/j.eswa.2025.127447</t>
  </si>
  <si>
    <t>Computer vision; Deep learning; Optimization; Precision; Small object detection; YOLOv8</t>
  </si>
  <si>
    <t>FedRD: Privacy-preserving adaptive Federated learning framework for intelligent hazardous Road Damage detection and warning</t>
  </si>
  <si>
    <t>Yachao Yuan, Yali Yuan, Thar Baker, Lutz Maria Kolbe, Dieter Hogrefe</t>
  </si>
  <si>
    <t>https://doi.org/10.1016/j.future.2021.06.035</t>
  </si>
  <si>
    <t>Edge-cloud computing; Federated learning; Differential privacy; Hazardous road damage detection and warning; Traffic safety; Latency</t>
  </si>
  <si>
    <t>Public perceptions and support for policies enhancing safety and justice in connected and automated vehicles and vulnerable road users interactions</t>
  </si>
  <si>
    <t>Laura Martínez-Buelvas, Andry Rakotonirainy, Deanna Grant-Smith, Md Mazharul Haque, Oscar Oviedo-Trespalacios</t>
  </si>
  <si>
    <t>https://doi.org/10.1016/j.cstp.2025.101571</t>
  </si>
  <si>
    <t>Connected and automated vehicles; Transport policy; Policy acceptance; Governance; Safety; Justice</t>
  </si>
  <si>
    <t>A hybrid YOLOv10—Faster R-CNN framework for mobility-aid detection and traffic optimization in disability-inclusive smart cities</t>
  </si>
  <si>
    <t>Mostafa A. Elhosseini, Hanaa A. Sayed, Rasha F. El-Agamy, Amna Bamaqa, Malik Almaliki, Tamer Ahmed Farrag, Hanaa ZainEldin, Mahmoud Badawy</t>
  </si>
  <si>
    <t>https://doi.org/10.1016/j.aej.2025.08.044</t>
  </si>
  <si>
    <t>Faster R-CNN; Intelligent transportation systems (ITS); Machine learning; Mobility aid detection; Object detection; Traffic analysis; YOLOv10</t>
  </si>
  <si>
    <t>Fair navigation planning: A resource for characterizing and designing fairness in mobile robots</t>
  </si>
  <si>
    <t>Martim Brandão, Marina Jirotka, Helena Webb, Paul Luff</t>
  </si>
  <si>
    <t>https://doi.org/10.1016/j.artint.2020.103259</t>
  </si>
  <si>
    <t>Motion planning; Robot navigation; Algorithmic fairness; Ethics; Responsible innovation</t>
  </si>
  <si>
    <t>Preserving data privacy in machine learning systems</t>
  </si>
  <si>
    <t>Soumia Zohra El Mestari, Gabriele Lenzini, Huseyin Demirci</t>
  </si>
  <si>
    <t>https://doi.org/10.1016/j.cose.2023.103605</t>
  </si>
  <si>
    <t>Privacy enhancing technologies; Trustworthy machine learning; Machine learning; Differential privacy; Homomorphic encryption; Functional encryption; Secure multiparty computation; Privacy threats</t>
  </si>
  <si>
    <t>This study presents WDFS-DETR, a Transformer-based detection model for small object detection on UAV imagery. It integrates wavelet-based feature enhancement, adaptive normalization, diffusion pyramid networks, and a boundary-aware loss to boost precision and real-time performance. Achieves +2.2% mAP improvement over RT-DETR-r18 and faster inference (50.1 FPS) on Jetson Orin Nano.</t>
  </si>
  <si>
    <t>Proposes a privacy-by-design AIoT architecture for intelligent urban systems, using privacy-protected visual data and anonymized AI vision models. Demonstrated in traffic flow monitoring, achieving strong privacy protection without loss of performance.</t>
  </si>
  <si>
    <t>Introduces SO-YOLOv8, an improved YOLOv8 variant for small object detection using hyperparameter tuning, SE blocks, and multi-scale training. Achieves 6% precision increase and 1% mAP improvement, reducing false positives in applications like surveillance, medical imaging, and autonomous driving.</t>
  </si>
  <si>
    <t>Proposes FedRD, a federated learning and edge-cloud system for road damage detection. Uses adaptive learning and differential privacy with pixelization to maintain privacy and achieve high detection accuracy and low latency for hazard warnings.</t>
  </si>
  <si>
    <t>Uses a survey of 384 Australians to assess public perceptions of CAV–VRU (Vulnerable Road User) policies. Finds strong support for inclusive, fair, and safety-centered infrastructure improvements; punitive policies face resistance. Suggests ethical, community-driven frameworks for CAV deployment.</t>
  </si>
  <si>
    <t>Introduces a hybrid YOLOv10–Faster R-CNN system for detecting mobility aids and optimizing traffic for disabled users. Combines high-speed YOLO detection with precise Faster R-CNN refinement, achieving 99.4% mAP and reducing travel time by 17.3%. Supports inclusive, real-time route planning.</t>
  </si>
  <si>
    <t>Examines fairness in mobile robot navigation by applying formal definitions of distributive justice to design and simulation. Discusses fairness-efficiency trade-offs, discrimination risks, and responsible innovation for autonomous systems.</t>
  </si>
  <si>
    <t>Reviews privacy-enhancing technologies (PETs) in machine learning from the data owners’ perspective. Identifies key privacy risks across ML lifecycles and evaluates PETs such as differential privacy, homomorphic encryption, and secure multiparty computation for trustworthy ML compliance.</t>
  </si>
  <si>
    <t>Optimized RNN-based performance prediction of IoT and WSN-oriented smart city application using improved honey badger algorithm</t>
  </si>
  <si>
    <t>A. Asha, Rajesh Arunachalam, I. Poonguzhali, Shabana Urooj, Salem Alelyani</t>
  </si>
  <si>
    <t>https://doi.org/10.1016/j.measurement.2023.112505</t>
  </si>
  <si>
    <t>Internet of Things; Network Performance Prediction; Wireless Sensor Network; Vehicular Ad-hoc NETwork; Optimized Recurrent Neural Network; Self Adaptive Honey Badger Algorithm</t>
  </si>
  <si>
    <t>A contemporary survey of recent advances in federated learning: Taxonomies, applications, and challenges</t>
  </si>
  <si>
    <t>Mohammed H. Alsharif, Raju Kannadasan, Wei Wei, Kottakkaran Sooppy Nisar, Abdel-Haleem Abdel-Aty</t>
  </si>
  <si>
    <t>https://doi.org/10.1016/j.iot.2024.101251</t>
  </si>
  <si>
    <t>Machine learning; Federated learning; ML; AI; IoT; 6G; Privacy; Healthcare</t>
  </si>
  <si>
    <t>Real-Time Multiple Object Detection Using Raspberry Pi and Tiny-ML Approach</t>
  </si>
  <si>
    <t>Tarun Jaiswal, Manju Pandey, Priyanka Tripathi</t>
  </si>
  <si>
    <t>https://doi.org/10.2174/0123520965284529240407083504</t>
  </si>
  <si>
    <t>SSD; Object detection; CNN; DL; Tiny-ML; MobilenetV2; Raspberry Pi</t>
  </si>
  <si>
    <t>Proposes an Optimized Recurrent Neural Network (ORNN) with a Self-Adaptive Honey Badger Algorithm (SA-HBA) for predicting network performance in IoT and WSN-based smart city applications. The model predicts efficiency using parameters such as energy consumption, throughput, packet loss, and delay, achieving improved prediction accuracy and reduced energy consumption across IoT modules including WSN, VANET, MANET, RFID, and WBAN.</t>
  </si>
  <si>
    <t>Presents a comprehensive survey on Federated Learning (FL), emphasizing its role in privacy-preserving AI for IoT systems. Discusses taxonomies, applications, and challenges of FL across industries, outlining how decentralized AI mitigates privacy risks and centralization bottlenecks in massive IoT networks. Provides guidance for future research on sustainable and secure FL ecosystems.</t>
  </si>
  <si>
    <t>Proposes a lightweight SSD-based object detection model deployed on Raspberry Pi using Tiny Machine Learning (TinyML). Employs MobileNet-V2 as the backbone for efficient real-time multi-object detection on resource-constrained embedded systems, achieving a balance between accuracy and power efficiency.</t>
  </si>
  <si>
    <t>Multi-Exposure Image Enhancement and YOLO Integration for Nighttime Pedestrian Detection</t>
  </si>
  <si>
    <t>Xiaobiao Dai, Junbo Lan, Zhigang Chen, Botao Wang, Xue Wen</t>
  </si>
  <si>
    <t>https://doi.org/10.1016/j.image.2025.117421</t>
  </si>
  <si>
    <t>Proposes DCExYOLO, a hybrid model combining multi-exposure image enhancement with YOLO for nighttime pedestrian detection in low-light driving scenarios. Uses an improved Zero-DCE++ algorithm for multi-exposure generation and a two-stage optimization strategy, reducing the log-average miss rate (MR-2) and improving real-time accuracy in complex illumination environments.</t>
  </si>
  <si>
    <t>Image enhancement; Intelligent vehicles; Object detection; Pedestrian detection; Real-time vision</t>
  </si>
  <si>
    <t>Contrasting inequalities in collective residence-based and pedestrian-based urban greenery exposure with multi-sourced urban big data and deep learning</t>
  </si>
  <si>
    <t>Dongwei Liu, Yi Lu, Di Wei, Yijia Hu</t>
  </si>
  <si>
    <t>https://doi.org/10.1016/j.apgeog.2025.103743</t>
  </si>
  <si>
    <t>Introduces a pedestrian-based greenery exposure (PBE) metric using street-view imagery and deep learning to evaluate inequality in urban greenery exposure across socioeconomic groups. Compares PBE and residence-based exposure (RBE) methods, revealing significant inequalities correlated with income and age. Highlights the need for fine-grained, mobility-aware greenery exposure assessments.</t>
  </si>
  <si>
    <t>Urban vegetation; Accessibility; Street view images; Socio-economic status; Machine learning; Pedestrian volume</t>
  </si>
  <si>
    <t>Redundant contextual feature suppression for pedestrian detection in dense scenes</t>
  </si>
  <si>
    <t>Jun Wang, Lei Wan, Xin Zhang, Xiaotian Cao</t>
  </si>
  <si>
    <t>https://doi.org/10.1016/j.image.2025.117403</t>
  </si>
  <si>
    <t>Presents a Context Suppressed R-CNN (CS-CS-RCNN) approach for pedestrian detection in dense, occluded scenes. Introduces CoT-FPN (Contextual Transformer Feature Pyramid Network) and Redundant Contextual Feature Suppression Module (RCFSM) to reduce false positives and improve feature extraction. Achieves a +1.1% AP and +1.2% Jaccard improvement on the CrowdHuman dataset.</t>
  </si>
  <si>
    <t>Dense scene; Pedestrian detection; Sparse R-CNN; Contextual transformer block</t>
  </si>
  <si>
    <t>A novel data-driven multi-agent pedestrian flow risk assessment framework for avoiding stampede incident</t>
  </si>
  <si>
    <t>Zi-Xuan Zhou, Kai Liu, Pei-Yang Wu, Wataru Nakanishi, Yasuo Asakura</t>
  </si>
  <si>
    <t>https://doi.org/10.1016/j.aap.2025.108207</t>
  </si>
  <si>
    <t>Proposes a data-driven, multi-agent framework for crowd flow risk assessment in high-density public spaces. Uses reinforcement learning and real-time visual inputs to model pedestrian dynamics, predict overcrowding, and establish safety thresholds for different layouts. Enhances early warning for stampede prevention by identifying spatial capacity and movement transitions.</t>
  </si>
  <si>
    <t>Multi-directional pedestrian flow; Visual information; Reinforcement learning; Safety capacity; Stampede prevention</t>
  </si>
  <si>
    <t>Pedestrian crossing intention prediction in obstructed scenarios using graph-based feature reconstruction and multi-scale self-attentive encoding</t>
  </si>
  <si>
    <t>Zhuofan Liu, Yigang Xue, Lan Zhu</t>
  </si>
  <si>
    <t>https://doi.org/10.1016/j.engappai.2025.111748</t>
  </si>
  <si>
    <t>Introduces Obstruction-CityWalk, a graph-based AI model for predicting pedestrian crossing intention in obstructed environments. Combines a graph auto-encoder with an anti-obscuration tracker for reconstructing missing pedestrian features, and a multi-scale self-attentive encoder for improved accuracy. Achieves +3% and +6% accuracy improvements on PIE and JAAD datasets.</t>
  </si>
  <si>
    <t>Pedestrian crossing intention; Obstructed scenarios; Graph auto-encoder; Anti-obscuration tracker; Self-attentive encoder; Artificial intelligence</t>
  </si>
  <si>
    <t>Co-designing AI with youth partners: Enabling ideal classroom relationships through a novel AI relational privacy ethical framework</t>
  </si>
  <si>
    <t>Michael Alan Chang, Mike Tissenbaum, Thomas M. Philip, Sidney K. D’Mello</t>
  </si>
  <si>
    <t>https://doi.org/10.1016/j.caeai.2025.100364</t>
  </si>
  <si>
    <t>Proposes a co-design methodology with youth partners to develop AI-supported collaboration tools for K-12 education. Emphasizes ethical responsibility to include students’ voices in AI design to avoid new surveillance risks in classrooms. Presents the AI Relational Privacy ethical framework emerging from a Learning Futures Workshop with 30 youth, promoting ethical AI for education.</t>
  </si>
  <si>
    <t>Architectures for educational technology systems; Cooperative/collaborative learning; Cultural and social implications; Interdisciplinary studies; Participatory design; AI-supported collaboration</t>
  </si>
  <si>
    <t>Balancing Privacy and Security: A Comparative Analysis of AI-Driven Surveillance in the UAE and USA</t>
  </si>
  <si>
    <t>Belal Alghafri, Abdallah Tubaishat</t>
  </si>
  <si>
    <t>https://doi.org/10.1016/j.procs.2025.03.021</t>
  </si>
  <si>
    <t>Analyzes AI-based surveillance systems in the UAE and USA, exploring the tension between privacy and national security. Highlights how centralized (UAE) vs democratic (USA) structures affect citizen rights and data handling. Concludes with policy recommendations for ethical AI surveillance balancing security and human rights.</t>
  </si>
  <si>
    <t>Privacy; Security; Surveillance; UAE; U.S. surveillance policies; Data privacy; National security; Government surveillance; Comparative analysis; Privacy legislation</t>
  </si>
  <si>
    <t>Embedding AI ethics into the design and use of computer vision technology for consumer’s behaviour understanding</t>
  </si>
  <si>
    <t>Simona Tiribelli, Benedetta Giovanola, Rocco Pietrini, Emanuele Frontoni, Marina Paolanti</t>
  </si>
  <si>
    <t>https://doi.org/10.1016/j.cviu.2024.104142</t>
  </si>
  <si>
    <t>Explores AI ethics in computer vision for consumer behaviour analysis in retail. Examines the VRAI framework for shopper re-identification and proposes a methodological path for embedding fairness, transparency, and explainability into AI retail systems per EU AI ethics principles. Provides strategies to mitigate bias and improve trustworthy AI.</t>
  </si>
  <si>
    <t>Human behaviour analysis; Artificial intelligence; AI ethics; Retail environment</t>
  </si>
  <si>
    <t>Allocating distributed AI/ML applications to cloud–edge continuum based on privacy, regulatory, and ethical constraints</t>
  </si>
  <si>
    <t>Pyry Kotilainen, Niko Mäkitalo, Kari Systä, Ali Mehraj, Muhammad Waseem, Tommi Mikkonen, Juan Manuel Murillo</t>
  </si>
  <si>
    <t>https://doi.org/10.1016/j.jss.2025.112333</t>
  </si>
  <si>
    <t>Presents a reference architecture for ethical orchestration of distributed AI/ML applications across the cloud–edge continuum. Introduces “model cards,” “data source cards,” and “software component cards” to capture privacy, compliance, and risk metadata in AI deployment. Supports compliance with GDPR and EU AI Act for trustworthy AI infrastructure management.</t>
  </si>
  <si>
    <t>Internet of Things; IoT; Cloud computing; Model cards; Ethical orchestration; Artificial Intelligence; AI; Ethics; Compliance; Privacy; AI regulation</t>
  </si>
  <si>
    <t>Privacy-Preserving Crowd Counting via Quantum-Enhanced Federated Learning</t>
  </si>
  <si>
    <t>Chen Zhang, Jing-an Cheng, Qiang Zhou, Wenzhe Zhai, Mingliang Gao</t>
  </si>
  <si>
    <t>https://doi.org/10.1111/exsy.70098</t>
  </si>
  <si>
    <t>Crowd counting; Federated learning; Privacy protection; Quantum network</t>
  </si>
  <si>
    <t>Privacy-Preserving Federated Learning Cyber-Threat Detection for Intelligent Transport Systems with Blockchain-Based Security</t>
  </si>
  <si>
    <t>Tarek Moulahi, Rateb Jabbar, Abdulatif Alabdulatif, Sidra Abbas, Salim El Khediri, Salah Zidi, Muhammad Rizwan</t>
  </si>
  <si>
    <t>https://doi.org/10.1111/exsy.13103</t>
  </si>
  <si>
    <t>Blockchain technology; Cyber-threat; Data privacy; Federated learning; Intelligent transport systems; VANET</t>
  </si>
  <si>
    <t>Computer Vision for Automated Seizure Detection and Classification: A Systematic Review</t>
  </si>
  <si>
    <t>Brandon M. Brown, Aidan M. H. Boyne, Adel M. Hassan, Anthony K. Allam, R. James Cotton, Zulfi Haneef</t>
  </si>
  <si>
    <t>https://doi.org/10.1111/epi.17926</t>
  </si>
  <si>
    <t>Epilepsy; Machine learning; Seizure; Video; Computer vision</t>
  </si>
  <si>
    <t>Applications of Deep Learning Techniques for Pedestrian Detection in Smart Environments: A Comprehensive Study</t>
  </si>
  <si>
    <t>Fen He, Paria Karami Olia, Rozita Jamili Oskouei, Morteza Hosseini, Zhihao Peng, Touraj BaniRostam</t>
  </si>
  <si>
    <t>https://doi.org/10.1155/2021/5549111</t>
  </si>
  <si>
    <t>Crowd counting plays a crucial role in analyzing group behavior in smart cities. Traditional crowd-counting models rely on large datasets gathered from diverse individuals for training while ignoring the privacy protection for each training client. Meanwhile, the scale variation has long been a difficult problem in crowd counting and has greatly reduced model accuracy. Therefore, it is essential to achieve privacy-aware crowd counting and to solve the problem of scale variation in dense scenes. To this end, we propose a Privacy-preserving Quantum-enhanced Network (PQNet). The PQNet uses federated learning to share parameters rather than data, which ensures the privacy of each client. Subsequently, a multi-scale quantum-driven calibration module is designed to capture multi-scale information via quantum states. It enhances counting accuracy in dense crowd environments where scale varies. Experiments on four crowd counting and two vehicle counting benchmarks demonstrate that PQNet outperforms state-of-the-art methods subjectively and objectively. The code will be available at: https://github.com/sdutzhangchen/PQNet.</t>
  </si>
  <si>
    <t>Artificial intelligence (AI) techniques implemented at a large scale in intelligent transport systems (ITS), have considerably enhanced the vehicles' autonomous behaviour in making independent decisions about cyber threats, attacks, and faults. While, AI techniques are based on data sharing among the vehicles, it is important to note that sensitive data cannot be shared. Thus, federated learning (FL) has been implemented to protect privacy in vehicles. On the other hand, the integrity of data and the safety of aggregation are ensured by using blockchain technology. This paper applied classification approaches to VANET and ITS cyber-threats detection at the vehicle. Subsequently, by using blockchain and by applying an aggregation strategy to different models, models from the previous step were uploaded in a smart contract. Lastly, we returned the updated models to the vehicles. Furthermore, we conducted an experimental study to measure the effectiveness of the proposed prototype. In this paper, the VeReMi data set was distributed in a balanced manner into five parts in the experimental study. Thus, classification techniques were executed by each vehicle separately, and models were generated. Upon the aggregation of the models in blockchain, they were returned to the vehicles. Lastly, the vehicles updated their decision functions and accessed the precision and accuracy of cyber-threat detection. The results indicated that the precision and accuracy decreased by 7.1% on average with comparable F1-score and recall. Our solution ensures the privacy preservation of vehicles whereas blockchain guarantees the safety of aggregation technique and low gas consumption.</t>
  </si>
  <si>
    <t>Computer vision (CV) shows increasing promise as an efficient, low-cost tool for video seizure detection and classification. Here, we provide an overview of the fundamental concepts needed to understand CV and summarize the structure and performance of various model architectures used in video seizure analysis. We conduct a systematic literature review of the PubMed, Embase, and Web of Science databases from January 1, 2000 to September 15, 2023, to identify the strengths and limitations of CV seizure analysis methods and discuss the utility of these models when applied to different clinical seizure phenotypes. Reviews, nonhuman studies, and those with insufficient or poor quality data are excluded from the review. Of the 1942 records identified, 45 meet inclusion criteria and are analyzed. We conclude that the field has shown tremendous growth over the past 2 decades, leading to several model architectures with impressive accuracy and efficiency. The rapid and scalable detection offered by CV models holds the potential to reduce sudden unexpected death in epilepsy and help alleviate resource limitations in epilepsy monitoring units. However, a lack of standardized, thorough validation measures and concerns about patient privacy remain important obstacles for widespread acceptance and adoption. Investigation into the performance of models across varied datasets from clinical and nonclinical environments is an essential area for further research.</t>
  </si>
  <si>
    <t>Intelligent transportation systems have been very well received by car companies, people, and governments around the world. The main challenge in the world of smart and self-driving cars is to identify obstacles, especially pedestrians, and take action to prevent collisions with them. Many studies in this field have been done by various researchers, but there are still many errors in the accurate detection of pedestrians in self-made cars made by different car companies, so in the research in this study, we focused on the use of deep learning techniques to identify pedestrians for the development of intelligent transportation systems and self-driving cars and pedestrian identification in smart cities, and then some of the most common deep learning techniques used by various researchers were reviewed. Finally, in this research, the challenges in each field are discovered, which can be very useful for students who are looking for an idea to do their dissertations and research in the field of smart transportation and smart cities.</t>
  </si>
  <si>
    <t>YOLOpeds: Efficient Real-Time Single-Shot Pedestrian Detection for Smart Camera Applications</t>
  </si>
  <si>
    <t>Christos Kyrkou</t>
  </si>
  <si>
    <t>https://doi.org/10.1049/iet-cvi.2019.0897</t>
  </si>
  <si>
    <t>This work introduces YOLOpeds, an efficient, single-shot deep-learning model optimized for embedded smart-camera systems used in surveillance, robotics, and traffic monitoring. It employs separable convolutions, dense cross-layer connections, and multi-scale feature fusion to enhance representation while minimizing parameters. An anchor-less detection mechanism and improved loss function boost localization accuracy. Implemented on a Jetson TX2 platform, YOLOpeds achieves real-time speeds above 30 FPS with ≈ 86 % detection accuracy on the PETS2009 dataset, outperforming comparable compact models.</t>
  </si>
  <si>
    <t>Computer vision; Traffic engineering computing; Object detection; Pedestrians; Neural nets; Deep-learning-based pedestrian detection; Smart camera systems</t>
  </si>
  <si>
    <t>Differential Privacy and K-anonymity for Pedestrian Image Data</t>
  </si>
  <si>
    <t>https://dl.acm.org/doi/10.1145/3743680</t>
  </si>
  <si>
    <t>https://dl.acm.org/doi/abs/10.1145/3503161.3548766</t>
  </si>
  <si>
    <t>anonymization, pedestrian detection, privacy-preserving techniques</t>
  </si>
  <si>
    <t>Blurred face detection &amp; recognition for privacy-friendly continuous ...</t>
  </si>
  <si>
    <t>https://dl.acm.org/doi/10.1016/j.pmcj.2023.101801</t>
  </si>
  <si>
    <t>face blurring, privacy-preserving techniques, detection performance</t>
  </si>
  <si>
    <t>privacy-preserving techniques, pedestrian detection, model accuracy</t>
  </si>
  <si>
    <t>Investigating the Perception of Facial Anonymization Techniques in ...</t>
  </si>
  <si>
    <t>https://dl.acm.org/doi/10.1145/3695254</t>
  </si>
  <si>
    <t>face anonymization, privacy-preserving techniques, surveillance</t>
  </si>
  <si>
    <t>https://dl.acm.org/doi/10.1145/3715275.3732185</t>
  </si>
  <si>
    <t>face blurring, anonymization, public surveillance</t>
  </si>
  <si>
    <t>The pedestrian detection algorithm based on an improved YOLOv8s</t>
  </si>
  <si>
    <t>10.1145/3703187.3703254</t>
  </si>
  <si>
    <t>Attentive Alignment Network for Multispectral Pedestrian Detection</t>
  </si>
  <si>
    <t>10.1145/3581783.3613444</t>
  </si>
  <si>
    <t>Pedestrian Detection in Underground Coal Mines with an Improved YOLOv7 Algorithm</t>
  </si>
  <si>
    <t>10.1145/3687488.3687544</t>
  </si>
  <si>
    <t>Multi-scale Pedestrian Detection Based on Attention Mechanism and Feature Fusion</t>
  </si>
  <si>
    <t>10.1145/3638884.3638886</t>
  </si>
  <si>
    <t>Fast Pedestrian Detection Algorithm Based on Improved YOLOv3</t>
  </si>
  <si>
    <t>10.1145/3573428.3573740</t>
  </si>
  <si>
    <t>VRGNet: A Robust Visible Region-Guided Network for Occluded Pedestrian Detection</t>
  </si>
  <si>
    <t>10.1145/3581807.3581817</t>
  </si>
  <si>
    <t>Learning a Dynamic Cross-Modal Network for Multispectral Pedestrian Detection</t>
  </si>
  <si>
    <t>10.1145/3503161.3547895</t>
  </si>
  <si>
    <t>Box Guided Convolution for Pedestrian Detection</t>
  </si>
  <si>
    <t>10.1145/3394171.3413989</t>
  </si>
  <si>
    <t>Wenhao Zhang, Jiaqi Liu, Yuxuan Wang</t>
  </si>
  <si>
    <t>Pedestrian detection, YOLOv8s, Attention mechanism, Multi-scale fusion, Real-time detection</t>
  </si>
  <si>
    <t>Jianan Li, Xin Zhang, Hao Sun</t>
  </si>
  <si>
    <t>Multispectral detection, Pedestrian detection, Attention alignment, Cross-modal fusion, Thermal imaging</t>
  </si>
  <si>
    <t>Li Wang, Ming Zhang, Qiang Li</t>
  </si>
  <si>
    <t>YOLOv7, Pedestrian detection, Coal mines, Attention mechanism, Lightweight model</t>
  </si>
  <si>
    <t>Xiaoyan Chen, Wei Liu, Jun Yang</t>
  </si>
  <si>
    <t>Multi-scale detection, Pedestrian detection, Attention mechanism, Feature fusion, Crowded scenes</t>
  </si>
  <si>
    <t>Hui Li, Bin Wang, Zhigang Zhao</t>
  </si>
  <si>
    <t>YOLOv3, Pedestrian detection, Fast detection, MobileNetV2, Spatial pyramid pooling</t>
  </si>
  <si>
    <t>Yifan Sun, Lei Zhang, Ming Yang</t>
  </si>
  <si>
    <t>Occluded detection, Pedestrian detection, Visible region guidance, Dual-stream network, Occlusion handling</t>
  </si>
  <si>
    <t>Gelareh Azraki, Mohammad Reza Keshavarzi, Fahad Shahbaz Khan, Michael Felsberg</t>
  </si>
  <si>
    <t>Multispectral detection, Cross-modal network, Dynamic fusion, Gating mechanism, Thermal-RGB fusion</t>
  </si>
  <si>
    <t>Yuntao Chen, Yibing Song, Tao Zhang, Huijie Fan, Yongtao Wang, Ming Tang, Chunpeng Li, Yong Lu</t>
  </si>
  <si>
    <t>Pedestrian detection, Box guided convolution, Location prior, Kernel modulation, Efficient detection</t>
  </si>
  <si>
    <t>This paper studies a novel privacy-preserving anonymization problem for pedestrian images, which preserves personal identity information (PII) for authorized models and prevents PII from being recognized by third parties. Conventional anonymization methods unavoidably cause semantic information loss, leading to limited data utility. To explore the privacy-utility trade-off for pedestrian images, we propose a joint learning reversible anonymization framework, which can reversibly generate full-body anonymous images with little performance drop on person re-identification tasks. The core idea is that we adopt desensitized images generated by conventional methods as the initial privacy-preserving supervision and jointly train an anonymization encoder with a recovery decoder and an identity-invariant model. We further propose a progressive training strategy to improve the performance, which iteratively upgrades the initial anonymization supervision. Experiments further demonstrate the effectiveness of our anonymized pedestrian images for privacy protection, which boosts the re-identification performance while preserving privacy. Code is available at https://github.com/JunwuZhang/Learnable-Anonymization.</t>
  </si>
  <si>
    <t>Pablo R. del Valle, José M. Martínez</t>
  </si>
  <si>
    <t>Face-recognition methods, for example, may be suitable for security and usability, but they violate user privacy by continuously recording their actions and surroundings. In this work, we propose BLUFADER, a novel continuous authentication system that takes advantage of blurred face detection and recognition to fast, secure, and transparent de-authenticate users, preserving their privacy. We obfuscate a webcam with a physical blur layer and use deep learning algorithms to perform face detection and recognition continuously. To evaluate BLUFADER’s practicality, we collected two datasets formed by 30 recruited subjects (users) and thousands of physically blurred celebrity photos. The de-authentication system was trained and evaluated using the former, while the latter was used to appraise the privacy and increase variance at training time. Further, we demonstrate that our approach outperforms state-of-the-art methods in detecting blurred faces, achieving up to 95% accuracy. Moreover, BLUFADER effectively de-authenticates users up to 100% accuracy in under 3 seconds, while satisfying security, privacy, and usability requirements. Last, our continuous authentication face recognition module based on Siamese Neural Network preventively protect users from adversarial attacks, enhancing the overall system security.</t>
  </si>
  <si>
    <t>Video cameras are prevalent in large cities but their use outside of public safety remains limited due to legitimate privacy concerns. Nevertheless, the rich information they can capture appears incredibly promising for large-scale smart city applications, such as transportation and urban planning. In this paper, we apply two privacy-preserving techniques to a dataset of pedestrian images captured by street cameras: differential privacy (DP) and k-anonymity. We evaluate their impact on two downstream tasks: cross-camera person re-identification and demographic predictions. Our results show that DP with small noise levels has minimal impact on re-identification accuracy but significantly degrades demographic predictions. K-anonymity, on the other hand, preserves re-identification performance better but at the cost of higher information loss for demographics.</t>
  </si>
  <si>
    <t>Lena Wöhler, Shinji Ikehata, Kiyoharu Aizawa</t>
  </si>
  <si>
    <t>In this work, we investigate facial anonymization techniques in 360° videos and assess their influence on the perceived realism, anonymization effect, and presence of participants. In comparison to traditional footage, 360° videos can convey engaging, immersive experiences that accurately represent the atmosphere of real-world locations. To understand these effects, we compare non-anonymized and anonymized 360° videos using blurring, black boxes, and face-swapping shown either on a regular screen or in a head-mounted display (HMD). Our results indicate significant differences in the perception of the anonymization techniques. We find that face-swapping is most realistic and least disruptive, however, participants raised concerns regarding the effectiveness of the anonymization. Furthermore, we observe that presence is affected by facial anonymization in HMD condition. Overall, the results underscore the need for facial anonymization techniques that balance both photo-realism and a sense of privacy.</t>
  </si>
  <si>
    <t>Matt Franchi, Tanushree Mitra, Karrie Karahalios, Motahhare Eslami, Emily Sun, Madiha Zahrah Choksi</t>
  </si>
  <si>
    <t>Spatially and temporally dense street imagery (DSI) datasets have grown unbounded. In 2024, individual companies possessed around 3 trillion unique images of public streets. DSI data streams are only set to grow as companies like Lyft and Waymo use DSI to train autonomous vehicle algorithms and analyze collisions. Academic researchers leverage DSI to explore novel approaches to urban analysis. Despite good-faith efforts by DSI providers to protect individual privacy through blurring faces and license plates, these measures fail to address broader privacy concerns. In this work, we find that increased data density and advancements in artificial intelligence enable harmful group membership inferences from supposedly anonymized data. We perform a penetration test to demonstrate how easily sensitive group affiliations can be inferred from obfuscated pedestrians in 25,232,608 dashcam images taken in New York City. We develop a typology of identifiable groups within DSI and analyze privacy implications through the lens of contextual integrity. Finally, we discuss actionable recommendations for researchers working with data from DSI providers.</t>
  </si>
  <si>
    <t>Maris, Lucas and Matsuda, Yuki and Yasumoto, Keiichi</t>
  </si>
  <si>
    <t>Deep learning for occluded and multi-scale pedestrian detection: A review</t>
  </si>
  <si>
    <t>Yanqiu Xiao, Kun Zhou, Guangzhen Cui, Lianhui Jia, Zhanpeng Fang, Xianchao Yang, Qiongpei Xia</t>
  </si>
  <si>
    <t>https://doi.org/10.1049/ipr2.12042</t>
  </si>
  <si>
    <t>Optical, image and video signal processing; Computer vision and image processing techniques; Video signal processing; Traffic engineering computing</t>
  </si>
  <si>
    <t>L1 norm-based pedestrian detection using video analytics technique</t>
  </si>
  <si>
    <t>Anandamurugan Selvaraj, Jeeva Selvaraj, Sivabalakrishnan Maruthaiappan, Gokulnath Chandra Babu, Priyan Malarvizhi Kumar</t>
  </si>
  <si>
    <t>https://doi.org/10.1111/coin.12292</t>
  </si>
  <si>
    <t>HOG; Human detection; Pedestrian detection; SVM; Twin background model</t>
  </si>
  <si>
    <t>Reb-DINO: A Lightweight Pedestrian Detection Model with Structural Re-Parameterization in Apple Orchard</t>
  </si>
  <si>
    <t>Ruiyang Li, Ge Song, Shansong Wang, Qingtian Zeng, Guiyuan Yuan, Weijian Ni, Nengfu Xie, Fengjin Xiao</t>
  </si>
  <si>
    <t>https://doi.org/10.1111/coin.70035</t>
  </si>
  <si>
    <t>Agriculture; Lightweight; Object detection; Pedestrian detection; Re-parameterization</t>
  </si>
  <si>
    <t>On combining deep features and machine learning for automatic edge pedestrian detection task</t>
  </si>
  <si>
    <t>Huihui Yu</t>
  </si>
  <si>
    <t>https://doi.org/10.1002/itl2.356</t>
  </si>
  <si>
    <t>Deep features; Edge computing; Edge detection framework; IoT networks; Machine learning; Pedestrian detection</t>
  </si>
  <si>
    <t>Pedestrian detection, as a research hotspot in the field of computer vision, is widely used in many fields, such as automatic driving, video surveillance, robots and so on. In recent years, with the rapid development of deep learning, pedestrian detection technology has made unprecedented breakthroughs. However, it fails to saturate pedestrian detection research, and there are still many problems to be solved. This study reviews the current research status of pedestrian detection methods based on deep learning. In the first place, we summarised the research results of two stage and one stage pedestrian detection based on deep learning, also summarised and analysed the improvement methods. Meanwhile, we focused on the occlusion and multi-scale problems of pedestrian detection and discussed the corresponding solutions. At last, we induced the pedestrian detection datasets and evaluation methods and prospected the development trend of deep learning in pedestrian detection.</t>
  </si>
  <si>
    <t>Pedestrian detection from images of the visible spectrum is a high relevant area of research given its potential impact in the design of pedestrian protection systems. In general, detection is made with two different phases, feature extraction and classification. Also, features for detection of pedestrian are already are available such as optimal feature model. But still required is an improvement in detection by reducing the execution time and false positive. The proposed model has three different phases, that is, background subtraction, feature extraction, and classification. In spite of giving entire information into feature extraction, the system gives only a useful information (foreground image) by twin background model. Then the foreground image moves to the feature extraction and classifies the pedestrian. For feature extraction, histogram of orientation gradient (HOG) L1 normalization has been used. This will increase the detection accuracy and reduce the computation time of a process. In addition, false positive rate has been minimized.</t>
  </si>
  <si>
    <t xml:space="preserve"> Pedestrian detection is crucial in agricultural environments to ensure the safe operation of intelligent machinery. In orchards, pedestrians exhibit unpredictable behavior and can pose significant challenges to navigation and operation. This demands reliable detection technologies that ensures safety while addressing the unique challenges of orchard environments, such as dense foliage, uneven terrain, and varying lighting conditions. To address this, we propose ReB-DINO, a robust and accurate orchard pedestrian detection model based on an improved DINO. Initially, we improve the feature extraction module of DINO using structural re-parameterization, enhancing accuracy and speed of the model during training and inference decoupling. In addition, a progressive feature fusion module is employed to fuse the extracted features and improve model accuracy. Finally, the network incorporates a convolutional block attention mechanism and an improved loss function to improve pedestrian detection rates. The experimental results demonstrate a 1.6% improvement in Recall on the NREC dataset compared to the baseline. Moreover, the results show a 4.2% improvement in $$ \mathrm{mAP} $$ and the number of parameters decreases by 40.2% compared to the original DINO. In the PiFO dataset, the $$ \mathrm{mAP} $$ with a threshold of 0.5 reaches 99.4%, demonstrating high detection accuracy in realistic scenarios. Therefore, our model enhances both detection accuracy and real-time object detection capabilities in apple orchards, maintaining a lightweight attributes, surpassing mainstream object detection models.</t>
  </si>
  <si>
    <t>Deep-learning-based pedestrian detectors can enhance the capabilities of smart camera systems in a wide spectrum of machine vision applications including video surveillance, autonomous driving, robots and drones, smart factory, and health monitoring. However, such complex paradigms do not scale easily and are not traditionally implemented in resource-constrained smart cameras for on-device processing which offers significant advantages in situations when real-time monitoring and privacy are vital. This work addresses the challenge of achieving a good trade-off between accuracy and speed for efficient deep-learning-based pedestrian detection in smart camera applications. The contributions of this work are the following: 1) a computationally efficient architecture based on separable convolutions that integrates dense connections across layers and multi-scale feature fusion to improve representational capacity while decreasing the number of parameters and operations, 2) a more elaborate loss function for improved localization, 3) and an anchor-less approach for detection. The proposed approach referred to as YOLOpeds is evaluated using the PETS2009 surveillance dataset on 320???320 images. A real-system implementation is presented using the Jetson TX2 embedded platform. YOLOpeds provides real-time sustained operation of over 30 frames per second with detection rates in the range of 86% outperforming existing deep learning models.</t>
  </si>
  <si>
    <t>Due to the restriction of cloud computing for video processing and distribution in networks, this paper designs an machine learning-based automatic edge detection framework for video processing task in the Internet of Things (IoT) networks. Since the video processing algorithm is complex and consumes massive computing resources, it can reduce the network transmission to put the video processing model on the edge servers, uploading the processing results from the edge servers to the cloud computing center. Obviously, the processing result is much smaller than the original video, which can implement real-time transmission. On the edge servers, the video is processed by utilizing a faster region convolutional neural network (Faster R-CNN) which integrates feature extraction with classification. The experiments, performed on several pedestrian flow detection datasets, demonstrate the effectiveness of the designed automatic edge detection framework.</t>
  </si>
  <si>
    <t>Fast pedestrian detection method based on BING</t>
  </si>
  <si>
    <t>Yong Zhao, Zhongwei Cui, Yongjun Zhang, Wenbo Xu, Hao Liang, Yu Zuo</t>
  </si>
  <si>
    <t>https://doi.org/10.1049/joe.2019.1160</t>
  </si>
  <si>
    <t>Object detection; Artificial intelligence; Image classification; Support vector machines; Computer vision; Road safety; Feature extraction; Pedestrians; Human–computer interaction; Intelligent transportation; Intelligent monitoring; Intelligent tourism; Window scanning; Detection speed</t>
  </si>
  <si>
    <t>Lightweight network and parallel computing for fast pedestrian detection</t>
  </si>
  <si>
    <t>Jianpeng Wu, Yao Men, DeSheng Chen</t>
  </si>
  <si>
    <t>https://doi.org/10.1002/cta.2903</t>
  </si>
  <si>
    <t>Jetson TX2; Lightweight; Parallel computing; Pedestrian detection</t>
  </si>
  <si>
    <t>Optical / image / video signal processing; Computer vision; Image-processing techniques; Traffic engineering computing</t>
  </si>
  <si>
    <t>A Two-Branch Pedestrian Detection Method for Small and Blurred Target</t>
  </si>
  <si>
    <t>Yufei Han, Hai Li, Shujuan Hou</t>
  </si>
  <si>
    <t>https://doi.org/10.1002/tee.23696</t>
  </si>
  <si>
    <t>Pedestrian detection; Motion information; Blurred pedestrian target; Small pedestrian scale</t>
  </si>
  <si>
    <t>Pedestrian detection is one of hot topics in the field of computer vision and pattern recognition, which is of great value to video surveillance, intelligent traffic and human-computer interaction, etc. and how to improve detection rate and speed is the key. Most traditional pedestrian detection methods are based on the pyramid sliding window scanning method, and for images in which the majority of the region does not contain a body, the detection is inefficient. This study presents a body window sampling algorithm based on binarised normed gradients, which can quickly and effectively extract the window of the image that most likely contains human body to be identified, thus greatly improving the detection speed and obtaining a lower false alarm rate. The authors employ the histogram of oriented gradient feature and the linear support vector machine to train the classifier. For the same false test case in comparison with the pyramid scanning method, when the authors used 2,000 sampling windows for detection, they observed a detection rate increase of 11%, the detection speed increased 19.6 times. For 5,000 sampling windows, the detection rate increased by 20% and the detection speed increased 7.8 times.</t>
  </si>
  <si>
    <t xml:space="preserve"> In recent years, researchers have made great efforts in computer vision task (e.g., object detection) with the widely use of convolutional neural networks (CNNs). However, object detection algorithms based on CNNs suffer from high computation cost even on the high-performance computers. In addition, with the development of high-resolution videos, the deployment of object detection algorithms becomes more and more difficult because of the large amount of data, let alone the portable platforms, such as unmanned aerial vehicles (UAVs). In this paper, we research a lightweight network on portable platform for outdoor tiny pedestrian detection. Concretely, we first set up a training dataset manually for lack of tiny pedestrian samples in common datasets. We provide a lightweight network, and then, parallel computing is introduced to make the most of the advantage of GPU. Finally, our method can achieve real-time performance on Jetson TX2. Experimental results verify that the proposed model has promising performance in tiny pedestrian detection designed for portable GPU platforms.</t>
  </si>
  <si>
    <t>edestrian detection, as a research hotspot in the field of computer vision, is widely used in many fields, such as automatic driving, video surveillance, robots and so on. In recent years, with the rapid development of deep learning, pedestrian detection technology has made unprecedented breakthroughs. However, it fails to saturate pedestrian detection research, and there are still many problems to be solved. This study reviews the current research status of pedestrian detection methods based on deep learning. In the first place, we summarised the research results of two stage and one stage pedestrian detection based on deep learning, also summarised and analysed the improvement methods. Meanwhile, we focused on the occlusion and multi-scale problems of pedestrian detection and discussed the corresponding solutions. At last, we induced the pedestrian detection datasets and evaluation methods and prospected the development trend of deep learning in pedestrian detection.</t>
  </si>
  <si>
    <t>Abstract Pedestrian detection task is generally composed of location and classification. In this work, we consider the problem of pedestrian detection under the condition of blurred pedestrian targets and small pedestrian scales. Most methods are only suitable for the detection task under ideal conditions or simply consider one of the above problems. For the sake of achieving better results, we proposed a new method that improved from both location and classification aspects. First, we propose a video-based pedestrian detection method that generates pedestrian proposals from the static feature extraction branch and motion information extraction branch. Secondly, a two-scale classification method is used in the structure to solve the various scale instance problem. Finally, experiments on public datasets demonstrate that this work delivers better performance than the HOG+SVM, SAF R-CNN, and YOLO+GMM methods. ? 2022 Institute of Electrical Engineers of Japan. Published by Wiley Periodicals LLC.</t>
  </si>
  <si>
    <t>Privacy-Preserving Signals</t>
  </si>
  <si>
    <t>Philipp Strack, Kai Hao Yang</t>
  </si>
  <si>
    <t>https://doi.org/10.3982/ECTA22017</t>
  </si>
  <si>
    <t>Privacy-preserving signal; Privacy sets; Independence; Reordered quantile signal; Protected characteristics</t>
  </si>
  <si>
    <t>Privacy-Preserving Minority Oversampling Protocols with Fully Homomorphic Encryption</t>
  </si>
  <si>
    <t>Maohua Sun, Ruidi Yang, Mengying Liu</t>
  </si>
  <si>
    <t>https://doi.org/10.1155/2022/3068199</t>
  </si>
  <si>
    <t>Privacy-preserving; Homomorphic encryption; Imbalanced datasets; Machine learning; Synthetic oversampling; Blockchain</t>
  </si>
  <si>
    <t>Deep Learning for Occluded and Multi-Scale Pedestrian Detection: A Review</t>
  </si>
  <si>
    <t>Privacy-Preserving Evaluation for Support Vector Clustering</t>
  </si>
  <si>
    <t>J. Byun, J. Lee, S. Park</t>
  </si>
  <si>
    <t>https://doi.org/10.1049/ell2.12047</t>
  </si>
  <si>
    <t>Data security; Algebra; Support vector machines; Homomorphic encryption; Clustering</t>
  </si>
  <si>
    <t>A signal is privacy-preserving with respect to a collection of privacy sets if the posterior probability assigned to every privacy set remains unchanged conditional on any signal realization. We characterize the privacy-preserving signals for arbitrary state space and arbitrary privacy sets. A signal is privacy-preserving if and only if it is a garbling of a reordered quantile signal. Furthermore, distributions of posterior means induced by privacy-preserving signals are exactly mean-preserving contractions of that induced by the quantile signal. We discuss the economic implications of our characterization for statistical discrimination, the revelation of sensitive information in auctions and price discrimination.</t>
  </si>
  <si>
    <t>In recent years, blockchain and machine-learning techniques have received increasing attention both in theoretical and practical aspects. However, the applications of these techniques have many challenges, one of which is the privacy-preserving issue. In this paper, we focus on, specifically, the privacy-preserving issue of imbalanced datasets, a commonly found problem in real-world applications. Built based on the fully homomorphic encryption technique, this paper presents two new secure protocols, Privacy-Preserving Synthetic Minority Oversampling Protocol (PPSMOS) and Borderline Privacy-Preserving Synthetic Minority Oversampling Protocol (Borderline-PPSMOS). Our analysis reveals that PPSMOS is generally more efficient in performance than Borderline-PPSMOS. However, Borderline-PPSMOS achieves a better TP rate and F-Value than PPSMOS.</t>
  </si>
  <si>
    <t>The authors proposed a privacy-preserving evaluation algorithm for support vector clustering with a fully homomorphic encryption. The proposed method assigns clustering labels to encrypted test data with an encrypted support function. This method inherits the advantageous properties of support vector clustering, which is naturally inductive to cluster new test data from complex distributions. The authors efficiently implemented the proposed method with elaborate packing of the plaintexts and avoiding non-polynomial operations that are not friendly to homomorphic encryption. These experimental results showed that the proposed model is effective in terms of clustering performance and has robustness against the error that occurs from homomorphic evaluation and approximate operations.</t>
  </si>
  <si>
    <t>Visible Part Prediction and Temporal Calibration for Pedestrian Detection</t>
  </si>
  <si>
    <t>Peiyu Yang, Weixi Li, Lu Wang, Lisheng Xu, Qingxu Deng</t>
  </si>
  <si>
    <t>https://doi.org/10.1049/ipr2.12615</t>
  </si>
  <si>
    <t>Pedestrian detection; Video-based detection; Temporal calibration; Occlusion handling; Motion information</t>
  </si>
  <si>
    <t>Improved SSD Model for Pedestrian Detection in Natural Scene</t>
  </si>
  <si>
    <t>Feng Hong, Chang hua Lu, Wang Tao, Weiwei Jiang</t>
  </si>
  <si>
    <t>https://doi.org/10.1155/2022/1500428</t>
  </si>
  <si>
    <t>SSD; Object detection; Deep learning; Pedestrian detection; Night-scene vision; Feature fusion</t>
  </si>
  <si>
    <t>Computer vision; Object detection; Pedestrians; Neural nets; Deep learning; Smart camera systems</t>
  </si>
  <si>
    <t>Real-Time 3D Multi-Pedestrian Detection and Tracking Using 3D LiDAR Point Cloud for Mobile Robot</t>
  </si>
  <si>
    <t>Ki-In Na, Byungjae Park</t>
  </si>
  <si>
    <t>https://doi.org/10.4218/etrij.2023-0116</t>
  </si>
  <si>
    <t>3D instance segmentation; 3D object detection; Motion estimation; Multiple-object tracking; Robot navigation</t>
  </si>
  <si>
    <t>Despite their great advancement, current pedestrian detection methods focus on single static images, which fail to employ richer information available from the video sequences. Compared with still images, videos can offer temporal information of objects in the time dimension, thus providing the potential to obtain more robust detection performance. Here, a novel pedestrian detection method based on visible part detection and temporal calibration is proposed. Specifically, a part-aware module to predict the visible body part of each pedestrian instance, which enables us to obtain precise motion information of partially occluded pedestrians in a video sequence, is first developed. Then, the temporal coherence for each pedestrian instance based on the predicted motion information is constructed. After that, an adaptive temporal calibration method is introduced to effectively calibrate the final detection result. This method on two video pedestrian detection benchmarks, that is, Caltech-New and MOT17Det, is evaluated. Experimental results show that this method performs favourably against existing pedestrian detection approaches.</t>
  </si>
  <si>
    <t>The indagation improves the SSD network to improve the target detection performance in unmanned driving at night. In target detection, the goal is to identify and locate the different types of objects present in an image. The first-level target detection method pulls categorization information and target position information for use by the second-level target detection algorithm using the featured MAP created by the deep network. The depth characteristics, on the other hand, are processed using long-distance convolution and downsampling. Given the lack of geographical information, research alludes to the concept of semantic segmentation and proposes a method for improving the first-level target identification algorithm SSD by mixing shallow characteristics from the backbone network with deep features obtained through sampling. In addition, this research enhances the generation method and loss function of the preselection box by taking into account the peculiarities of pedestrian detection data. Undertakings to experiments on the two data sets provided by INRIA and Caltech show that the improved model USSD reported in this paper improves both the efficiency of detection and speed of retrieval</t>
  </si>
  <si>
    <t>Pedestrian detection is crucial in agricultural environments to ensure the safe operation of intelligent machinery. In orchards, pedestrians exhibit unpredictable behavior and can pose significant challenges to navigation and operation. This demands reliable detection technologies that ensures safety while addressing the unique challenges of orchard environments, such as dense foliage, uneven terrain, and varying lighting conditions. To address this, we propose ReB-DINO, a robust and accurate orchard pedestrian detection model based on an improved DINO. Initially, we improve the feature extraction module of DINO using structural re-parameterization, enhancing accuracy and speed of the model during training and inference decoupling. In addition, a progressive feature fusion module is employed to fuse the extracted features and improve model accuracy. Finally, the network incorporates a convolutional block attention mechanism and an improved loss function to improve pedestrian detection rates. The experimental results demonstrate a 1.6% improvement in Recall on the NREC dataset compared to the baseline. Moreover, the results show a 4.2% improvement in $$ \mathrm{mAP} $$ and the number of parameters decreases by 40.2% compared to the original DINO. In the PiFO dataset, the $$ \mathrm{mAP} $$ with a threshold of 0.5 reaches 99.4%, demonstrating high detection accuracy in realistic scenarios. Therefore, our model enhances both detection accuracy and real-time object detection capabilities in apple orchards, maintaining a lightweight attributes, surpassing mainstream object detection models</t>
  </si>
  <si>
    <t>Mobile robots are used in modern life; however, object recognition is still insufficient to realize robot navigation in crowded environments. Mobile robots must rapidly and accurately recognize the movements and shapes of pedestrians to navigate safely in pedestrian-rich spaces. This study proposes real-time, accurate, three-dimensional (3D) multi-pedestrian detection and tracking using a 3D light detection and ranging (LiDAR) point cloud in crowded environments. The pedestrian detection quickly segments a sparse 3D point cloud into individual pedestrians using a lightweight convolutional autoencoder and connected-component algorithm. The multi-pedestrian tracking identifies the same pedestrians considering motion and appearance cues in continuing frames. In addition, it estimates pedestrians' dynamic movements with various patterns by adaptively mixing heterogeneous motion models. We evaluate the computational speed and accuracy of each module using the KITTI dataset. We demonstrate that our integrated system, which rapidly and accurately recognizes pedestrian movement and appearance using a sparse 3D LiDAR, is applicable for robot navigation in crowded spaces</t>
  </si>
  <si>
    <t>Privacy-Preserving Parametric Inference: A Case for Robust Statistics</t>
  </si>
  <si>
    <t>Marco Avella-Medina</t>
  </si>
  <si>
    <t>10.1080/01621459.2019.1700130</t>
  </si>
  <si>
    <t>From object obfuscation to contextually-dependent identification: enhancing automated privacy protection in street-level image platforms (SLIPs)</t>
  </si>
  <si>
    <t>Josh Buckley, Mark Burdon, Tegan Cohen, Michael Milford</t>
  </si>
  <si>
    <t>10.1080/13600834.2024.2321052</t>
  </si>
  <si>
    <t>Crowd Monitoring: State-of-the-Art and Future Directions</t>
  </si>
  <si>
    <t>Jean-FranÃ§ois Determe, FranÃ§ois Horlin, Utkarsh Singh, Philippe de Doncker</t>
  </si>
  <si>
    <t>10.1080/02564602.2020.1803152</t>
  </si>
  <si>
    <t>Differential privacy is a cryptographically motivated approach to privacy that has become a very active field of research over the last decade in theoretical computer science and machine learning. In this paradigm, one assumes there is a trusted curator who holds the data of individuals in a database and the goal of privacy is to simultaneously protect individual data while allowing the release of global characteristics of the database. In this setting, we introduce a general framework for parametric inference with differential privacy guarantees. We first obtain differentially private estimators based on bounded influence M-estimators by leveraging their gross-error sensitivity in the calibration of a noise term added to them to ensure privacy. We then show how a similar construction can also be applied to construct differentially private test statistics analogous to the Wald, score, and likelihood ratio tests. We provide statistical guarantees for all our proposals via an asymptotic analysis. An interesting consequence of our results is to further clarify the connection between differential privacy and robust statistics. In particular, we demonstrate that differential privacy is a weaker stability requirement than infinitesimal robustness, and show that robust M-estimators can be easily randomized to guarantee both differential privacy and robustness toward the presence of contaminated data. We illustrate our results both on simulated and real data. Supplementary materials for this article are available online.</t>
  </si>
  <si>
    <t>Street-level image platforms (SLIPs) employ indiscriminate forms of data collection that include potentially privacy invasive images. Both the scale and the indiscriminate nature of data collection means that significant privacy management requirements are needed. Legal risk management is currently operated through obfuscation techniques involving certain image objects. Current SLIP object obfuscation solutions are an indiscriminate and a blunt solution to a similarly indiscriminate data collection concern. A new contextual approach to obfuscation is required that goes beyond object obfuscation. Contextually-dependent identification would seek to identify the contexts, including captured objects, which can give rise to privacy concerns. It is technically more challenging for automated solutions as it requires an assessment of the contextual situation to understand privacy risk. Context-sensitive privacy detection, combined with context-sensitive privacy-by-design processes, potentially offer a risk management solution that better situates and addresses the concerns arising from SLIP data collections.</t>
  </si>
  <si>
    <t>With the growing concerns over public safety, the importance of crowd monitoring is being realized by various security and event management agencies worldwide. Estimation of crowd dynamics can help such agencies in the prevention of any unanticipated accidents or issues. Research on crowd monitoring has been underway since the past few decades. Conventional crowd monitoring systems mainly rely on computer vision approach. Due to predominant use of videos/ image sequences, the existing techniques may raise data privacy concerns. This has led to the development of new crowd monitoring techniques which are privacy-preserving and require minimum public participation. This paper aims to serve as a single and sufficient source of information to the concerned researchers on various aspects of crowd monitoring and also provide future directions which can be helpful in developing advanced crowd monitoring techniques.</t>
  </si>
  <si>
    <t>Differential privacy, parametric inference, robust statistics, M-estimators, gross-error sensitivity, noise calibration, private test statistics, Wald test, score test, likelihood ratio test, asymptotic analysis, data privacy, trusted curator, database protection, statistical guarantees</t>
  </si>
  <si>
    <t>Street-level image platforms, object obfuscation, contextually-dependent identification, privacy protection, data collection, privacy risk management, contextual privacy, automated solutions, privacy-by-design, indiscriminate data collection, legal risk management, context-sensitive detection</t>
  </si>
  <si>
    <t>Crowd monitoring, public safety, crowd dynamics, computer vision, privacy-preserving techniques, event management, security agencies, data privacy, crowd estimation, advanced monitoring techniques, public participation, accident prevention</t>
  </si>
  <si>
    <t>Estimating pedestrian traffic with Bluetooth sensor technology</t>
  </si>
  <si>
    <t>Avital Angel, Achituv Cohen, Sagi Dalyot, Pnina Plaut</t>
  </si>
  <si>
    <t>10.1080/10095020.2023.2247446</t>
  </si>
  <si>
    <t>An efficient graph community clustering and ranking-based cryptographic privacy preserving framework on large social databases</t>
  </si>
  <si>
    <t>Shamila M, G Rekha, K Vinuthna Reddy</t>
  </si>
  <si>
    <t>10.1080/23311916.2024.2380351</t>
  </si>
  <si>
    <t>The increasing availability of ubiquitous sensor data on the built environment holds great potential for a new generation of travel and mobility research. Bluetooth technology, for example, is already vastly used in vehicular transportation management solutions and services. Current studies discuss the potential of this emerging technology for pedestrian mobility research, but it has yet to be examined in a large urban setting. One of the main problems is detecting pedestrians from Bluetooth records since their behavior and movement patterns share similarities with other urban transportation modes. This study aims to accurately detect pedestrians using a network of 65 Bluetooth detectors located in Tel-Aviv, Israel, which record on average over 60,000 unique daily Bluetooth Media-Access-Control addresses. We propose a detection methodology that includes system calibration, effective travel time calculation, and classification by velocity that takes into consideration the probability of vehicular traffic jams. An evaluation of the proposed methodology presents a promising pedestrian detection accuracy rate of 89%. We showcase the results of pedestrian traffic analysis, together with a discussion on the data analysis challenges and limitations. To the best of our knowledge, this work is the first to analyze pedestrian records detection from a Bluetooth network employed in a dynamic urban environment setting.</t>
  </si>
  <si>
    <t>In today’s digital age, individuals using online social platforms have created complex social connections, transforming the landscape of virtual relationships. In traditional graph-based models, various issues, such as community clustering, privacy preserving on large data and effective anomaly detection in each graph cluster, are unattended on large graph data. This work proposes a Multi-Online Social Networking Graph Data (MOSNGD) model to address crucial aspects of optimal community clustering, influence node detection and privacy-preserving techniques. Utilizing a graph-based model, this approach integrates an innovative optimal community clustering method (OCCM) to enhance the understanding of cohesive user groups with shared interests. Additionally, the introduced Top-k Influence Node Detection method (TINDM) aims to identify key nodes within these communities, facilitating the recognition of influential entities actively shaping the network’s dynamics. Recognizing the importance of privacy in the age of data-driven insights, proposed a Multi-Privacy Control Framework (MPCF) for Privacy-Preserving Data Mining (PPDM) on k-influence sensitive graph data. The experimental results illustrate momentous improvements when compared to existing methods across varied performance metrics, namely, (a) clustering accuracy, (b) influence node detection precision and (c) privacy preservation. Specifically, the proposed MOSNGD method attained (a) 98.9% clustering accuracy, (b) 99.1% precision rate in influence node detection and improved privacy protection rate when compared to traditional methods. The results highlight the efficacy of the proposed framework in addressing the key challenges in Online Social Network (OSN) analysis.</t>
  </si>
  <si>
    <t>Pedestrian traffic, Bluetooth sensor technology, ubiquitous sensor data, mobility research, vehicular transportation, pedestrian detection, Bluetooth detectors, Tel-Aviv, travel time calculation, velocity classification, traffic jams, detection accuracy, urban environment, data analysis challenges</t>
  </si>
  <si>
    <t>Graph community clustering, privacy preserving, social databases, online social networks, community clustering, influence node detection, anomaly detection, MOSNGD model, OCCM method, TINDM method, MPCF framework, PPDM, clustering accuracy, influence detection precision, privacy protection</t>
  </si>
  <si>
    <t>Pedestrian detection method based on improved YOLOv5</t>
  </si>
  <si>
    <t>Zhenchao Gu, Shangtao You, Kai Zhu</t>
  </si>
  <si>
    <t>10.1080/21642583.2023.2300836</t>
  </si>
  <si>
    <t>Pedestrian detection based on YOLOv3 multimodal data fusion</t>
  </si>
  <si>
    <t>Fei-Xiang Chang, Yuan-Sheng Liu, Ming Lu, Cheng Wang</t>
  </si>
  <si>
    <t>10.1080/21642583.2022.2129507</t>
  </si>
  <si>
    <t>IVP-YOLOv5: an intelligent vehicle-pedestrian detection method based on YOLOv5s</t>
  </si>
  <si>
    <t>Zehao Duan, Song Li, Yi Li, Yong Li, Jiankun Song, Yang Sun</t>
  </si>
  <si>
    <t>10.1080/09540091.2023.2168254</t>
  </si>
  <si>
    <t>With the development of autonomous vehicles and intelligent transportation, more accurate detection of pedestrians. However, pedestrian detection suffers from occlusion and small target. First, the HorNet to improve the higher-order spatial interaction capability of the model, expand the effective sensory field, and enhance the feature extraction of pedestrians. Then, ODConv to gain the variability of each dimension and capture rich information. Finally, a layer to increase the accuracy of detecting pedestrians at small scales. We optimize the regression prediction of the anchor using the Efficient IOU Loss (EIOU) function. Experimental data show that the mean average precision (mAP) of the HOD-YOLOv5 model achieves 83.5%, compared to YOLOv5, which is 4.4% higher than original YOLOv5, and the recognition speed of the HOD-YOLOV5 reaches 106.7 frames per second (FPS). This demonstrates that the proposed model could realize real-time pedestrian detection at a relatively small cost, which satisfies the requirements of uncrewed and intelligent transportation.</t>
  </si>
  <si>
    <t>Multi-sensor fusion has essential applications in the field of target detection. Considering the current actual demand for miniaturization of on-board computers for driverless vehicles, this paper uses the multimodal data YOLOv3 (MDY) algorithm for pedestrian detection on embedded devices. The MDY algorithm uses YOLOv3 as the basic framework to improve pedestrian detection accuracy by optimizing anchor frames and adding small target detection branches. Then the algorithm is accelerated by using TensorRT technology to improve the real-time performance in embedded devices. Finally, a hybrid fusion framework is used to fuse the LIDAR point cloud data with the improved YOLOv3 algorithm to compensate for the shortcomings of a single sensor and improve the detection accuracy while ensuring speed. The improved YOLOv3 improves AP by 6.4% and speed by 11.3 FPS over the original algorithm. The MDY algorithm achieves better performance on the KITTI dataset. To further verify the feasibility of the MDY algorithm, an actual test was conducted on an unmanned vehicle with Jetson TX2 embedded device as the on-board computer within the campus scenario, and the results showed that the MDY algorithm achieves 90.8% accuracy under real-time operation and can achieve adequate detection accuracy and real-time performance on the embedded device.</t>
  </si>
  <si>
    <t>Computer vision is now vital in intelligent vehicle environment perception systems. However, real-time small-scale pedestrian detection in intelligent vehicle environment perception systems is still needs to be improved. This paper proposes an intelligent vehicle-pedestrian detection method based on YOLOv5s, named IVP-YOLOv5, to use in vehicle environment perception systems. Based on the network structure of YOLOv5s, we replaced BottleNeck CSP with Ghost-Bottleneck to reduce the complexity of processing feature maps while maintaining good detection performance. To reduce the error between the ground truth box and the predicted box, we apply Alpha-IoU as the bounding box loss function, improving pedestrian detection accuracy and robustness. We introduce the slicing-aided hyper inference (SAHI) strategy, which enables the lightweight backbone network to capture more detailed features of pedestrians by enlarging image pixels. Experiments on the BDD100 K dataset show that the proposed IVP-YOLOv5 achieves 67.1% AP and 18.5% APs of pedestrian detection, and the GFLOPs and the number of parameters are only 10.5 and 4.9M.</t>
  </si>
  <si>
    <t>Pedestrian detection, YOLOv5, HorNet, ODConv, small-scale detection, EIOU loss, autonomous vehicles, intelligent transportation, occlusion handling, feature extraction, mean average precision, real-time detection, HOD-YOLOv5, detection speed</t>
  </si>
  <si>
    <t>Pedestrian detection, YOLOv3, multimodal data fusion, LIDAR point cloud, TensorRT acceleration, embedded devices, driverless vehicles, small target detection, anchor frame optimization, hybrid fusion framework, KITTI dataset, detection accuracy, real-time performance, Jetson TX2</t>
  </si>
  <si>
    <t>Pedestrian detection, YOLOv5s, IVP-YOLOv5, intelligent vehicle, Ghost-Bottleneck, Alpha-IoU, SAHI strategy, environment perception, small-scale detection, BDD100K dataset, detection accuracy, computational complexity, feature map processing, real-time detection</t>
  </si>
  <si>
    <t>A novel architecture for efficient pedestrian detection in autonomous vehicles</t>
  </si>
  <si>
    <t>Olfa Ben Rhaiem, Hassene Faiedh, Wajdi Farhat, Chokri Souani</t>
  </si>
  <si>
    <t>10.1080/09540091.2025.2529261</t>
  </si>
  <si>
    <t>Monitoring and evaluation framework for inclusive smart cities in India</t>
  </si>
  <si>
    <t>Shaleen Singhal, Madhurima Waghmare</t>
  </si>
  <si>
    <t>10.1080/09614524.2021.1907535</t>
  </si>
  <si>
    <t>Public safety and intelligent surveillance systems rely heavily on accurate pedestrian detection to ensure effective monitoring and response. However, real-world challenges such as complex backgrounds, occlusions, and small target sizes significantly impact detection performance. To address these issues, this study proposes YOLO-SPD, an optimised YOLOv8-based architecture specifically designed for pedestrian detection. The model enhances multi-scale feature fusion by integrating a Bi-directional Feature Pyramid Network (BiFPN) in the neck structure, reducing computational complexity while preserving fine-grained details. Additionally, the Coordinate Attention (CA) mechanism is embedded within the Spatial Pyramid Pooling Fast (SPPF) module to improve localisation by effectively capturing both local and global spatial dependencies. Furthermore, pedestrian-specific bounding box regression is refined using the Complete Intersection over Union (CIoU) loss function, ensuring precise localisation and better edge positioning. The proposed approach is evaluated on the Caltech Pedestrian and KITTI datasets. Extensive experiments demonstrate its effectiveness, achieving 97.85% precision on the KITTI dataset and 96.18% precision on the Caltech Pedestrian dataset. These results highlight the robustness and reliability of YOLO-SPD in detecting pedestrians across diverse environments, making it a promising solution for real-time autonomous driving and intelligent surveillance applications.</t>
  </si>
  <si>
    <t>Urban investments in India over the past three decades have helped its cities advance in terms of improved infrastructure and better economic standards. However, the cities are simultaneously facing challenges of polarised and unequally distributed development benefits. This paper advances the inclusive cities’ agenda beyond the constructs of “pro-poor development” and develops a multidimensional evaluation and monitoring framework. Through the review and analysis of 20 smart cities in India, the paper presents the gaps and patterns of relationships within the critical factors of inclusion. The need to develop alternate development models that shall promote socio-economic transformation in smart cities in India is emphasised through this paper.</t>
  </si>
  <si>
    <t>Pedestrian detection, YOLO-SPD, YOLOv8, BiFPN, Coordinate Attention, SPPF module, CIoU loss, multi-scale feature fusion, autonomous vehicles, intelligent surveillance, Caltech Pedestrian dataset, KITTI dataset, precision, real-time detection, occlusion handling</t>
  </si>
  <si>
    <t>Inclusive cities, smart cities, India, urban development, socio-economic transformation, monitoring framework, evaluation framework, infrastructure improvement, pro-poor development, urban investments, development disparities, multidimensional analysis, socio-economic inclusion</t>
  </si>
  <si>
    <t>Principles and Virtues in AI Ethics</t>
  </si>
  <si>
    <t>A robust privacy-preserving online monitoring algorithm for disease surveillance</t>
  </si>
  <si>
    <t>Youth perceptions of AI ethics: a Q methodology approach</t>
  </si>
  <si>
    <t>Preservice ethics teachers' perceptions of AI ethics education</t>
  </si>
  <si>
    <t>Paul Scherz</t>
  </si>
  <si>
    <t>Yinghui Huang, Fugee Tsung, Miaomiao Yu</t>
  </si>
  <si>
    <t>Junga Ko, Aeri Song</t>
  </si>
  <si>
    <t>10.1080/15027570.2024.2440195</t>
  </si>
  <si>
    <t>10.1080/16843703.2025.2452105</t>
  </si>
  <si>
    <t>10.1080/10508422.2024.2396582</t>
  </si>
  <si>
    <t>10.1080/03057240.2024.2393353</t>
  </si>
  <si>
    <t>One of the most common contemporary approaches for developing an ethics of artificial intelligence (AI) involves elaborating guiding principles. This essay explores the limitations of this approach, using the history of bioethics as a comparative case. The examples of bioethics and recent AI ethics suggest that principles are difficult to implement in everyday practice, fail to direct individual action, and can frequently result in a pure proceduralism. The essay encourages an additional attention to virtue, which forms the dispositions of actors, directs them to valued ends, and encourages right action in particular situation to complement principles. Practices and professions like medicine or warfighting that already have rich traditions of reflection on virtue ethics will be especially fruitful fields for developing an AI ethics of virtue.</t>
  </si>
  <si>
    <t>Early detection and treatment of disease are paramount for our well-being. Regular clinical visits are essential for patients with chronic illnesses to prevent the disease from progressing, and individuals with high-risk health factors, such as family history of a specific disease, also benefit from frequent health checks. Effective health monitoring relies on two essential factors. First, a timely and robust algorithm is indispensable for identifying early warning signs of disease from complex health indicators. Second, privacy protection during data usage is crucial due to the sensitive nature of clinical data. For instance, a seemingly innocuous indicator (e.g. neutrophils in asthma detection) may be associated with stigmatized illnesses (e.g. HIV/AIDS) that cause social isolation and discrimination. To achieve disease surveillance in a timely and privacy-preserving manner, we develop an online monitoring algorithm based on differential privacy. We incorporate an independent, Laplace-distributed random variable into the statistics of control chart. Further, we introduce an adaptive estimation method and a weighting function to reduce the sensitivity loss in the monitoring and robustness loss in the private monitoring algorithm. The proposed method adheres to the differential data privacy model. Simulation results and a real example of personal clinical diagnosis demonstrate the superiority of our design.</t>
  </si>
  <si>
    <t>AI technology advancement has sparked a global initiative to educate youth on AI ethics. Understanding students’ prior knowledge is vital. This study explores the diverse perceptions of AI ethics among Korean middle school students using Q methodology. Four types emerged: Privacy Guardians, AI Coexistence Pursuers, AI Ethics Conservatives, and Domestic Distributive Justice Advocates. These classifications reflect the students’ concerns, attitudes toward AI, and value preferences. Despite differences, there is consensus on the importance of human dignity and disagreement with the fair distribution of economic benefits of AI between countries. The findings suggest the need for tailored educational strategies based on students’ perceptions to foster balanced ethical reflection.</t>
  </si>
  <si>
    <t>In the ever-evolving landscape of AI, moral educators play a crucial role in promoting the positive development of youth and addressing potential ethical challenges posed by AI. This study employed Q methodology to explore the perceptions of 30 South Korean preservice ethics teachers on AI ethics education, and five distinct perception types emerged: Human-Centered Ethical Guardians of AI, AI Skeptics, AI Abuse Preventers, Competence Cultivators for Coexistence with AI, and AI Social Justice Advocates. These five types encapsulate the distinct gestalt of individuals that intertwines various perceptions regarding AI ethics principles as well as AI technology, the future of the AI era, and the purpose of AI ethics education. By aligning educational approaches with individuals’ perception types, teacher education programs can contribute to a more balanced viewpoint on AI and AI ethics education among preservice teachers.</t>
  </si>
  <si>
    <t>AI ethics, guiding principles, virtue ethics, bioethics, proceduralism, right action, dispositions, valued ends, medical ethics, warfighting ethics, AI implementation, ethical reflection, professional practices</t>
  </si>
  <si>
    <t>Disease surveillance, privacy-preserving, online monitoring, differential privacy, health monitoring, early detection, Laplace distribution, adaptive estimation, weighting function, clinical data, sensitivity loss, robustness, control chart, health indicators</t>
  </si>
  <si>
    <t>AI ethics, youth perceptions, Q methodology, Korean middle school students, Privacy Guardians, AI Coexistence Pursuers, AI Ethics Conservatives, Domestic Distributive Justice Advocates, human dignity, ethical education, value preferences, tailored education</t>
  </si>
  <si>
    <t>AI ethics education, preservice teachers, Q methodology, South Korea, Human-Centered Ethical Guardians, AI Skeptics, AI Abuse Preventers, Competence Cultivators, AI Social Justice Advocates, moral education, ethical challenges, teacher education, balanced viewpoints</t>
  </si>
  <si>
    <t>Privacy-preserving AI, big data security, data privacy techniques, anonymization approaches, cryptography algorithms, differential privacy, k-anonymity, T-closeness, data publishing, information lifecycle, privacy challenges, secure data mining, cloud cybersecurity, AI-driven privacy, data protection</t>
  </si>
  <si>
    <t>Visual object detection, deep learning, computer vision, object localization, image frames, video analysis, robotics applications, autonomous driving, medical imaging, surveillance systems, DL technologies, recognition models, target classes, feature extraction</t>
  </si>
  <si>
    <t>Outlier detection, automated surveillance, vision-based techniques, anomaly detection, video annotation, human mobility patterns, irregular patterns, contextual factors, classification methods, motion patterns, noise interference, false-alarm rate, motion camouflage</t>
  </si>
  <si>
    <t>Privacy computing, privacy preservation, information lifecycle, data collection, storage processing, distribution destruction, privacy algorithms, formal definitions, privacy principles, algorithmic guidelines, evaluation metrics, privacy language, multi-modal distribution, traceability</t>
  </si>
  <si>
    <t>Federated learning, video anomaly detection, GPT-driven distillation, semantic generation, privacy concerns, data heterogeneity, multimodal network, unsupervised detection, weakly supervised detection, large language models, video-text pairs, surveillance systems, anomaly sensitivity</t>
  </si>
  <si>
    <t>Pedestrian detection, thermal cameras, data augmentation, geometric augmentation, photometric augmentation, domain shift, object detection, thermal imaging, indoor environments, outdoor environments, tourism security, mobility domains, real-time counting, fusion networks</t>
  </si>
  <si>
    <t>Privacy-preserving, video obfuscation, pedestrian detection, Generative Adversarial Privacy, smart cities, edge-cloud analysis, anonymization techniques, encryption, Trusted Execution Environment, pedestrian attribute recognition, data privacy, cloud computing, surveillance systems, privacy-utility tradeoff</t>
  </si>
  <si>
    <t>Data privacy, data utility, de-identification, clinical data, predictive modeling, emergency department, ARX software, data anonymization, re-identification risk, logistic regression, privacy-utility tradeoff, health data analysis, dataset utility, privacy protection</t>
  </si>
  <si>
    <t>Patient privacy, chest radiographs, anonymization, PriCheXy-Net, biometric information, re-identification risk, deep learning, data utility, abnormality classification, ChestX-ray14 dataset, privacy-utility tradeoff, obfuscation methods, Privacy-Net, DP-Pix</t>
  </si>
  <si>
    <t>People detection, data privacy, perceptual encryption, hierarchical image scrambling, YOLO detector, Lipschitz cost function, attention modules, visible spectrum, thermal band, privacy protection, computer vision, encrypted images, real-world scenarios</t>
  </si>
  <si>
    <t>Network services, privacy protection, trust model, service quality, information entropy, privacy measurement, hierarchical weights, trust-privacy model, privacy disclosure, information flow, multi-agent supervision, service utility, trust factors</t>
  </si>
  <si>
    <t>Data release, privacy-utility equilibrium, DRAPE algorithm, sensitive associations, correlation preservation, privacy protection, big data, personalized service, data utility, privacy level control, optimization model, data sharing, real datasets</t>
  </si>
  <si>
    <t>Social graph release, node differential privacy, community structure, PrivCom algorithm, Katz index, global graph features, sensitivity regulation, private eigenvector estimation, privacy budget allocation, graph reconstruction, data utility, Laplacian calculation, privacy preservation</t>
  </si>
  <si>
    <t>Publisher</t>
  </si>
  <si>
    <t>IEEE Xplore</t>
  </si>
  <si>
    <t>SpringerLink</t>
  </si>
  <si>
    <t>TF1</t>
  </si>
  <si>
    <t/>
  </si>
  <si>
    <t>TF4</t>
  </si>
  <si>
    <t>TF5</t>
  </si>
  <si>
    <t>TF6</t>
  </si>
  <si>
    <t>TF7</t>
  </si>
  <si>
    <t>TF8</t>
  </si>
  <si>
    <t>TF9</t>
  </si>
  <si>
    <t>TF10</t>
  </si>
  <si>
    <t>TF11</t>
  </si>
  <si>
    <t>TF12</t>
  </si>
  <si>
    <t>TF13</t>
  </si>
  <si>
    <t>TF14</t>
  </si>
  <si>
    <t>Taylor and Francis</t>
  </si>
  <si>
    <t>SD3</t>
  </si>
  <si>
    <t>SD5</t>
  </si>
  <si>
    <t>SD7</t>
  </si>
  <si>
    <t>SD9</t>
  </si>
  <si>
    <t>SD10</t>
  </si>
  <si>
    <t>SD11</t>
  </si>
  <si>
    <t>SD16</t>
  </si>
  <si>
    <t>SD17</t>
  </si>
  <si>
    <t>SD19</t>
  </si>
  <si>
    <t>SD20</t>
  </si>
  <si>
    <t>SD21</t>
  </si>
  <si>
    <t>SD22</t>
  </si>
  <si>
    <t>SD23</t>
  </si>
  <si>
    <t>SD24</t>
  </si>
  <si>
    <t>SD25</t>
  </si>
  <si>
    <t>SD26</t>
  </si>
  <si>
    <t>SD27</t>
  </si>
  <si>
    <t>SD28</t>
  </si>
  <si>
    <t>SD29</t>
  </si>
  <si>
    <t>SD30</t>
  </si>
  <si>
    <t>SD31</t>
  </si>
  <si>
    <t>SD32</t>
  </si>
  <si>
    <t>SD33</t>
  </si>
  <si>
    <t>ACM1</t>
  </si>
  <si>
    <t>ACM2</t>
  </si>
  <si>
    <t>ACM3</t>
  </si>
  <si>
    <t>ACM4</t>
  </si>
  <si>
    <t>ACM5</t>
  </si>
  <si>
    <t>ACM6</t>
  </si>
  <si>
    <t>ACM7</t>
  </si>
  <si>
    <t>ACM8</t>
  </si>
  <si>
    <t>ACM9</t>
  </si>
  <si>
    <t>ACM10</t>
  </si>
  <si>
    <t>ACM11</t>
  </si>
  <si>
    <t>ACM12</t>
  </si>
  <si>
    <t>ACM13</t>
  </si>
  <si>
    <t>ACM14</t>
  </si>
  <si>
    <t>ACM15</t>
  </si>
  <si>
    <t>ACM16</t>
  </si>
  <si>
    <t>ACM17</t>
  </si>
  <si>
    <t>ACM18</t>
  </si>
  <si>
    <t>ACM19</t>
  </si>
  <si>
    <t>ACM20</t>
  </si>
  <si>
    <t>ACM21</t>
  </si>
  <si>
    <t>ACM22</t>
  </si>
  <si>
    <t>WY1</t>
  </si>
  <si>
    <t>WY2</t>
  </si>
  <si>
    <t>WY3</t>
  </si>
  <si>
    <t>WY4</t>
  </si>
  <si>
    <t>WY5</t>
  </si>
  <si>
    <t>WY6</t>
  </si>
  <si>
    <t>WY7</t>
  </si>
  <si>
    <t>WY8</t>
  </si>
  <si>
    <t>WY9</t>
  </si>
  <si>
    <t>WY10</t>
  </si>
  <si>
    <t>WY11</t>
  </si>
  <si>
    <t>WY12</t>
  </si>
  <si>
    <t>WY13</t>
  </si>
  <si>
    <t>WY14</t>
  </si>
  <si>
    <t>WY15</t>
  </si>
  <si>
    <t>WY16</t>
  </si>
  <si>
    <t>WY17</t>
  </si>
  <si>
    <t>WY18</t>
  </si>
  <si>
    <t>WY19</t>
  </si>
  <si>
    <t>WY20</t>
  </si>
  <si>
    <t>WY21</t>
  </si>
  <si>
    <t>WY22</t>
  </si>
  <si>
    <t>WY23</t>
  </si>
  <si>
    <t>IX12</t>
  </si>
  <si>
    <t>IX14</t>
  </si>
  <si>
    <t>IX17</t>
  </si>
  <si>
    <t>IX28</t>
  </si>
  <si>
    <t>IX38</t>
  </si>
  <si>
    <t>SL1</t>
  </si>
  <si>
    <t>SL11</t>
  </si>
  <si>
    <t>SL33</t>
  </si>
  <si>
    <t>SL6</t>
  </si>
  <si>
    <t>SL7</t>
  </si>
  <si>
    <t>Relevancy</t>
  </si>
  <si>
    <t>Privacy-Preserving Adaptive Trajectory Storage on Blockchain for COVID-19 Contact Tracing</t>
  </si>
  <si>
    <t>Junaid Ahmed Khan, Kavya Bangalore, Kaan Ozbay</t>
  </si>
  <si>
    <t>Innovation Under Pressure: Implications for Data Privacy During the COVID-19 Pandemic</t>
  </si>
  <si>
    <t>Gemma Newlands, Christoph Lutz, Aurelia Tamò-Larrieux, Eduard Fosch Villaronga, Rehana Harasgama, Gil Scheitlin</t>
  </si>
  <si>
    <t>Automated Unmanned Aerial Vehicle-Based Bridge Deck Delamination Detection and Quantification</t>
  </si>
  <si>
    <t>Qianyun Zhang, Sun Ho Ro, Zhe Wan, Saeed Babanajad, John Braley, Kaveh Barri, Amir H. Alavi</t>
  </si>
  <si>
    <t>Privacy Preservation Using Optimized Federated Learning: A Critical Survey</t>
  </si>
  <si>
    <t>Yogita Sachin Narule, Kalpana Sunil Thakre</t>
  </si>
  <si>
    <t>Exponential Ant-Lion Rider Optimization for Privacy Preservation in Cloud Computing</t>
  </si>
  <si>
    <t>Nagaraju Pamarthi, N. Nagamalleswara Rao</t>
  </si>
  <si>
    <t>A Novel Approach for Weighted Average Filter and Guided Filter Based on Tunnel Image Enhancement</t>
  </si>
  <si>
    <t>Vikram Rajpoot, Praveen Kumar Mannepalli, Shruti Bhargava Choubey, Parag Sohoni, Prashant Chaturvedi</t>
  </si>
  <si>
    <t>Privacy-Preserving Policy Evaluation in Multi-Party Access Control</t>
  </si>
  <si>
    <t>Mina Sheikhalishahi, Ischa Stork, Nicola Zannone</t>
  </si>
  <si>
    <t>Performance Test of Autonomous Vehicle LiDAR Sensors Under Different Weather Conditions</t>
  </si>
  <si>
    <t>Li Tang, Yunpeng Shi, Qing He, Adel W. Sadek, Chunming Qiao</t>
  </si>
  <si>
    <t>Semantic-Enabled Architecture for Auditable Privacy-Preserving Data Analysis</t>
  </si>
  <si>
    <t>Michel Dumontier, Sabrina Kirrane, Oshani Seneviratne, Fajar J. Ekaputra, Andreas Ekelhart, Rudolf Mayer, Tomasz Miksa, Tanja Šarčević, Sotirios Tsepelakis, Laura Waltersdorfer</t>
  </si>
  <si>
    <t>Privacy-Preserving Analysis of Time-to-Event Data Under Nested Case-Control Sampling</t>
  </si>
  <si>
    <t>Lamin Juwara, Yi Archer Yang, Ana M. Velly, Paramita Saha-Chaudhuri</t>
  </si>
  <si>
    <t>Emotional Privacy-Preserving of Speech Based on Generative Adversarial Networks</t>
  </si>
  <si>
    <t>Jinsen Lin, Zhiqiang Yao, Biao Jin, Zheyu Chen</t>
  </si>
  <si>
    <t>Private Attributes: The Meanings and Mechanisms of “Privacy-Preserving” Adtech</t>
  </si>
  <si>
    <t>Lee McGuigan, Ido Sivan-Sevilla, Patrick Parham, Yan Shvartzshnaider</t>
  </si>
  <si>
    <t>A Methodological Assessment of Privacy-Preserving Record Linkage Using Survey and Administrative Data</t>
  </si>
  <si>
    <t>Lisa B. Mirel, Dean M. Resnick, Jonathan Aram, Christine S. Cox</t>
  </si>
  <si>
    <t>The Algorithm of Nighttime Pedestrian Detection in Intelligent Surveillance for Renewable Energy Power Stations</t>
  </si>
  <si>
    <t>Bao Peng, Zhi-Bin Chen, Erkang Fu, Zi-Chuan Yi</t>
  </si>
  <si>
    <t>Privacy-Preserving Defect Prediction Using Generalization and Entropy-Based Data Reduction</t>
  </si>
  <si>
    <t>Ahmad A. Saifan, Zainab Lataifeh</t>
  </si>
  <si>
    <t>Finite-Time Asymmetric Bipartite Consensus for Multi-Agent Systems with Privacy-Preserving</t>
  </si>
  <si>
    <t>Fan Fang, Hongyong Yang, Fei Liu, Shuochen Wang</t>
  </si>
  <si>
    <t>A Balanced Privacy-Preserving Data Aggregation Model in Wireless Sensor Networks</t>
  </si>
  <si>
    <t>Changlun Zhang, Chao Li, Yi Zhao</t>
  </si>
  <si>
    <t>Evaluation of the Common Needs and Preferences of Different Generations in Mixed-Age Community Public Spaces Based on the IPA–Kano Model</t>
  </si>
  <si>
    <t>Yuming Lu</t>
  </si>
  <si>
    <t>Quantitative Evaluation of Advanced Traffic Management Systems Using Analytic Hierarchy Process</t>
  </si>
  <si>
    <t>Mohammad Razaur Rahman Shaon, Xiaofeng Li, Yao-Jan Wu, Simon Ramos</t>
  </si>
  <si>
    <t>Research on Hierarchical Pedestrian Detection Based on SVM Classifier with Improved Kernel Function</t>
  </si>
  <si>
    <t>Yin Zhang, Lunhui Xu, Yikuan Zhang</t>
  </si>
  <si>
    <t>Argumentation Schemes: From Genetics to International Relations to Environmental Science Policy to AI Ethics</t>
  </si>
  <si>
    <t>Nancy L. Green</t>
  </si>
  <si>
    <t>AI Ethics in Journalism (Studies): An Evolving Field Between Research and Practice</t>
  </si>
  <si>
    <t>Colin Porlezza, Aljosha Karim Schapals</t>
  </si>
  <si>
    <t>AI Ethics Should Not Remain Toothless! A Call to Bring Back the Teeth of Ethics</t>
  </si>
  <si>
    <t>Anaïs Rességuier, Rowena Rodrigues</t>
  </si>
  <si>
    <t>Towards Responsible AI Journalism: Mapping Journalists’ Perceptions of AI Ethics</t>
  </si>
  <si>
    <t>Donghee Shin, Shuhua Zhou, Azmat Rasul</t>
  </si>
  <si>
    <t>SA1</t>
  </si>
  <si>
    <t>SA2</t>
  </si>
  <si>
    <t>SA3</t>
  </si>
  <si>
    <t>SA4</t>
  </si>
  <si>
    <t>SA5</t>
  </si>
  <si>
    <t>SA6</t>
  </si>
  <si>
    <t>SA7</t>
  </si>
  <si>
    <t>SA8</t>
  </si>
  <si>
    <t>SA9</t>
  </si>
  <si>
    <t>SA10</t>
  </si>
  <si>
    <t>SA11</t>
  </si>
  <si>
    <t>SA12</t>
  </si>
  <si>
    <t>SA13</t>
  </si>
  <si>
    <t>SA14</t>
  </si>
  <si>
    <t>SA15</t>
  </si>
  <si>
    <t>SA16</t>
  </si>
  <si>
    <t>SA17</t>
  </si>
  <si>
    <t>SA18</t>
  </si>
  <si>
    <t>SA19</t>
  </si>
  <si>
    <t>SA20</t>
  </si>
  <si>
    <t>SA21</t>
  </si>
  <si>
    <t>SA22</t>
  </si>
  <si>
    <t>SA23</t>
  </si>
  <si>
    <t>SA24</t>
  </si>
  <si>
    <t>SA25</t>
  </si>
  <si>
    <t>Sage</t>
  </si>
  <si>
    <t>DOI</t>
  </si>
  <si>
    <t>BLUFADER: : Blurred face detection &amp; recognition for privacy-friendly continuous authentication</t>
  </si>
  <si>
    <t>Investigating the Perception of Facial Anonymization Techniques in 360° Videos</t>
  </si>
  <si>
    <t>Title of the paper</t>
  </si>
  <si>
    <t xml:space="preserve">SpringerLink
</t>
  </si>
  <si>
    <t>Accurate and Privacy-Preserving Person Localization Using Federated-Learning and the Camera Surveillance Systems of Public Places</t>
  </si>
  <si>
    <t>Nabil, Mahmoud and Sherif, Ahmed and Mahmoud, Mohamed and Alsmary, Waleed and Alsabaan, Maazen</t>
  </si>
  <si>
    <t>10.1109/ACCESS.2022.3214227</t>
  </si>
  <si>
    <t>In this paper we propose an accurate and privacy-preserving scheme that enables a law enforcement agency to locate persons of interest using the camera surveillance systems of public places. Comparing to the existing schemes that measure the Euclidean distance to locate persons using their embedding vectors storing facial features, we use a more accurate approach by training a machine learning model. Moreover, to avoid leaking sensitive information by sharing the images of the public places’ visitors to train the model, we use a federated learning technique to compute the model in a privacy-preserving way. The model is designed in such a way that makes executing it over encrypted data efficient. Specifically, the model is executed by three parties as follows. Each public place computes an embedding vector for each visitor’s image and inputs it to a neural network and encrypts the output using a modified inner product encryption scheme and sends the ciphertext to a cloud server. The law enforcement agency does the same steps on the images of persons of interest. Finally, the server uses these ciphertexts to evaluate the last layer of the model by computing the inner product of the two vectors over encrypted data. The cryptosystem enables the server to compute the inner product of two vectors using their ciphertexts without being able to learn the vectors. We have modified an encryption cryptosystem that is designed for a single public place and a single law enforcement agency to make it more efficient in our application that has multiple public places. To evaluate our scheme, we have conducted extensive experiments and the results confirm that our model is accurate in locating persons of interest with low communication and computation overhead. A formal proof and analysis are used to demonstrate the ability of our scheme to preserve privacy.</t>
  </si>
  <si>
    <t>Servers;Data models;Privacy;Surveillance;Computational modeling;Cameras;Law enforcement;Encryption;Federated learning;Identification of persons;Privacy-preservation;security;person localization;inner product over encrypted data;surveillance systems</t>
  </si>
  <si>
    <t>Towards A Framework for Privacy-Preserving Pedestrian Analysis</t>
  </si>
  <si>
    <t>Kunchala, Anil and Bouroche, Mélanie and Schoen-Phelan, Bianca</t>
  </si>
  <si>
    <t>10.1109/WACV56688.2023.00435</t>
  </si>
  <si>
    <t>The design of pedestrian-friendly infrastructures plays a crucial role in creating sustainable transportation in urban environments. Analyzing pedestrian behaviour in response to existing infrastructure is pivotal to planning, maintaining, and creating more pedestrian-friendly facilities. Many approaches have been proposed to extract such behaviour by applying deep learning models to video data. Video data, however, includes an broad spectrum of privacy-sensitive information about individuals, such as their location at a given time or who they are with. Most of the existing models use privacy-invasive methodologies to track, detect, and analyse individual or group pedestrian behaviour patterns. As a step towards privacy-preserving pedestrian analysis, this paper introduces a framework to anonymize all pedestrians before analyzing their behaviors. The proposed framework leverages recent developments in 3D wireframe reconstruction and digital in-painting to represent pedestrians with quantitative wireframes by removing their images while preserving pose, shape, and background scene context. To evaluate the proposed framework, a generic metric is introduced for each of privacy and utility. Experimental evaluation on widely-used datasets shows that the proposed framework outperforms traditional and state-of-the-art image filtering approaches by generating best privacy utility trade-off.</t>
  </si>
  <si>
    <t>Measurement;Deep learning;Privacy;Three-dimensional displays;Shape;Urban areas;Transportation;Applications: Social good</t>
  </si>
  <si>
    <t>Accurate Image-Based Pedestrian Detection With Privacy Preservation</t>
  </si>
  <si>
    <t>10.1109/TVT.2020.3043203</t>
  </si>
  <si>
    <t>Yang, Haomiao and Zhou, Qixian and Ni, Jianbing and Li, Hongwei and Shen, Xuemin</t>
  </si>
  <si>
    <t>In this paper, we propose an accurate pedestrian detection scheme with privacy preservation (PPPD) based on pedestrian images. By utilizing the vector homomorphic encryption (VHE), private linear-transforming matrices are ingeniously designed to enable arbitrary permutation operations for the encrypted vectors. In this way, the feature vector extraction of the histogram of oriented gradient (HOG) can be efficiently performed over the encrypted pedestrian images. Furthermore, due to the encrypted inner product calculations supported by VHE, an encrypted kernel matrix is constructed to generate multiple encrypted kernels (i.e., linear, polynomial, and Gaussian kernels). The pedestrian detection model based on the supported vector machine (SVM) can be securely trained over the encrypted kernels. With the proposed scheme, the extracted features of pedestrian images are not necessary to be returned to the image owner for decryption, such that the communication costs can be significantly reduced. In addition, the privacy of the whole process in pedestrian detection can also be guaranteed. Extensive experiments are conducted over multiple pedestrian datasets, and it is demonstrated that PPPD can achieve high accuracy of pedestrian detection with lower computation and communication overhead compared with the existing schemes.</t>
  </si>
  <si>
    <t>Cryptography;Feature extraction;Support vector machines;Privacy;Training;Kernel;Encryption;Pedestrian detection;vector homomorphic encryption;support vector machine;histogram of oriented gradient;privacy preservation</t>
  </si>
  <si>
    <t>FedVAD: Enhancing Federated Video Anomaly Detection with GPT-Driven Semantic Distillation</t>
  </si>
  <si>
    <t>To propose a novel paradigm for privacy-preserving recognition of obfuscated faces that optimizes the balance between privacy preservation and utility maximization in face recognition.</t>
  </si>
  <si>
    <t>Developed a client-server architecture where the client sends obfuscated images to the server, which performs recognition using a pre-trained model and privacy-free complementary features. Implemented an identity-guided feature compensation mechanism with privacy-enhancing techniques. Conducted extensive experiments on multiple face datasets.</t>
  </si>
  <si>
    <t>The approach is effective in diverse scenarios, achieving accurate face identification while safeguarding original facial appearance and retaining visualization capability.</t>
  </si>
  <si>
    <t>Client-server model, image obfuscation, feature compensation, privacy protection, utility maximization.</t>
  </si>
  <si>
    <t>Enables secure face recognition for public security and convenience without compromising individual privacy, addressing the paradox of data usage and privacy concerns.</t>
  </si>
  <si>
    <t>Struggles with prioritizing utility or privacy; potential for further improvements in obfuscation techniques.</t>
  </si>
  <si>
    <t>PRO-Face C introduces a feature compensation mechanism for recognizing obfuscated faces, ensuring privacy while maintaining high utility in recognition tasks.</t>
  </si>
  <si>
    <t>To propose a proactive face hiding network that conceals face information in the background to protect against face swapping tampering and allow recovery of the original face.</t>
  </si>
  <si>
    <t>Framework with three U-Net-based modules: preparation network, encoder, and recovery network. Designed special loss functions for recovery after attacks. Developed neural network-based JPEG simulator for robustness against compression. Experiments measured PSNR for protected and recovered images after attacks.</t>
  </si>
  <si>
    <t>Protected images have PSNR of 40.947 dB; recovered images after face swapping attacks have PSNR between 28.368 and 33.847 dB; after JPEG compression, PSNR decreases by max 2.142 dB.</t>
  </si>
  <si>
    <t>Proactive hiding, U-Net modules, loss functions, JPEG simulator, high-quality protection and recovery.</t>
  </si>
  <si>
    <t>Provides a method to generate tamper-resistant images that can recover originals, enhancing security in public image sharing.</t>
  </si>
  <si>
    <t>Cannot recover original face from watermarked images; robustness to other attacks.</t>
  </si>
  <si>
    <t>A network hides faces in backgrounds to counter swapping, with high PSNR in protected/recovered images and robustness to JPEG.</t>
  </si>
  <si>
    <t>To investigate the influence of image-based subject anonymization methods on computer vision tasks (keypoint detection, instance segmentation, face detection), comparing their impact on performance and degree of anonymization, including re-identification attacks.</t>
  </si>
  <si>
    <t>Compared anonymization methods for privacy vs. utility trade-off. Applied re-identification attack scenario. Evaluated using recognition and retrieval rates.</t>
  </si>
  <si>
    <t>Clear trade-off between privacy and CV performance. Latent diffusion (L-Diff) shows minimal performance decrease with low recognition rate, but high retrieval rate in attacks for all methods.</t>
  </si>
  <si>
    <t>Anonymization trade-off, L-Diff best, high re-identification risk.</t>
  </si>
  <si>
    <t>Highlights need for better anonymization to balance privacy and utility in data sharing.</t>
  </si>
  <si>
    <t>High re-identification despite low recognition; need for stronger methods.</t>
  </si>
  <si>
    <t>Study shows anonymization affects CV tasks, with L-Diff optimal but persistent re-id risks.</t>
  </si>
  <si>
    <t>To introduce FAIR-PED framework for examining impact of pedestrian visual attributes on fair performance of ML-based detection models, promoting societal acceptance.</t>
  </si>
  <si>
    <t>Used CLIP models for automatic attribute labeling with recall balance and accuracy. Labeled ECP dataset. Employed bootstrap resampling for validation. Measured fairness with Equal Opportunity Difference (EOD).</t>
  </si>
  <si>
    <t>Detection differences across attributes; minor biases for women and bag-carriers (EOD -1.12%, -0.34%); significant lower detection for lateral views (EOD +4.65%).</t>
  </si>
  <si>
    <t>CLIP labeling, EOD metric, view bias concern.</t>
  </si>
  <si>
    <t>Improves trust in autonomous driving by addressing fairness.</t>
  </si>
  <si>
    <t>View bias in crossing pedestrians; need for bias mitigation.</t>
  </si>
  <si>
    <t>FAIR-PED uses CLIP to assess fairness in pedestrian detection, revealing view-based biases.</t>
  </si>
  <si>
    <t>To propose cycle-VQ-VAE for encoding/decoding video with audio to protect privacy in streaming, resisting side-channel attacks.</t>
  </si>
  <si>
    <t>Cycle-VQ-VAE framework with fusion of video and audio (as nonpatterned noise). Two models: F2F and V2V. Experiments validate privacy, quality, efficiency.</t>
  </si>
  <si>
    <t>Superior to existing methods in privacy protection, quality preservation, transmission efficiency.</t>
  </si>
  <si>
    <t>Audio as noise, F2F/V2V models, compression for security.</t>
  </si>
  <si>
    <t>Enables secure video sharing for IoT/AI applications.</t>
  </si>
  <si>
    <t>Visual-based systems' privacy issues; need for heterogeneous data use.</t>
  </si>
  <si>
    <t>Cycle-VQ-VAE uses audio-video fusion for privacy-preserving streaming with high performance.</t>
  </si>
  <si>
    <t>To study privacy-preserving anonymization for pedestrian images that preserves PII for authorized models but prevents recognition by third parties, retaining utility for Re-ID.</t>
  </si>
  <si>
    <t>Proposed method allows recovery of original images for authorized use; anonymized images suitable for Re-ID.</t>
  </si>
  <si>
    <t>Addresses utility-privacy trade-off, reversible for utility, suitable for Re-ID.</t>
  </si>
  <si>
    <t>Anonymization, reversibility, Re-ID compatibility.</t>
  </si>
  <si>
    <t>Enhances data utility in surveillance while protecting privacy.</t>
  </si>
  <si>
    <t>Semantic loss in conventional methods; need for reversible anonymization.</t>
  </si>
  <si>
    <t>Novel anonymization preserves PII for authorized use and supports Re-ID.</t>
  </si>
  <si>
    <t>To propose PIPE for privacy-preserving 6DoF pose estimation in immersive applications using encrypted images.</t>
  </si>
  <si>
    <t>Three components: image encryption preserving features, privacy-preserving feature extraction, secure matching. Implemented on mobile/server.</t>
  </si>
  <si>
    <t>Comparable accuracy to SOTA with strong privacy; real-time operation.</t>
  </si>
  <si>
    <t>Encryption, feature extraction/matching on encrypted data.</t>
  </si>
  <si>
    <t>Prevents privacy breaches in AR/VR.</t>
  </si>
  <si>
    <t>Privacy in visual mapping/localization.</t>
  </si>
  <si>
    <t>PIPE enables secure pose estimation with encrypted features.</t>
  </si>
  <si>
    <t>The study aims to address privacy concerns in using video camera data for smart city applications by extending differential privacy and k-anonymity to pedestrian image data. The clear goals are to evaluate the privacy-utility trade-off of these approaches on cross-camera person re-identification and demographic (attribute recognition) predictions, enabling privacy protection directly on the data while retaining practical utility for vision-based applications.</t>
  </si>
  <si>
    <t>The approach involves extending differential privacy and k-anonymity concepts to image data for pedestrian images. This is applied at the data source to reduce privacy sensitivity. The methods are extensively evaluated on tasks including cross-camera person re-identification and attribute recognition, assessing the resulting privacy-utility trade-off. Specific techniques draw from referenced works on image obfuscation, such as pixel-level perturbations for differential privacy and anonymization strategies for k-anonymity, tested on pedestrian datasets.</t>
  </si>
  <si>
    <t>The proposed approaches significantly reduce the privacy-sensitivity of pedestrian image data at the source. They retain decent utility for cross-camera person re-identification and demographic predictions, demonstrating a favorable privacy-utility trade-off compared to traditional methods like pixelization or blurring, which fail to balance both aspects adequately.</t>
  </si>
  <si>
    <t>Video cameras in cities offer rich data for smart city applications but raise privacy issues beyond public safety. Encryption relies on trusting end servers, which data leaks undermine; traditional obfuscation (e.g., blurring) lacks sufficient privacy or utility. Extending differential privacy and k-anonymity to images provides direct data protection while preserving utility for re-identification and attribute tasks. Evaluations confirm these methods outperform conventional obfuscation in balancing privacy and utility for pedestrian data.</t>
  </si>
  <si>
    <t>The findings suggest that privacy-responsible use of image data is feasible for large-scale smart city applications, such as those leveraging video as versatile sensors. By reducing reliance on trusted servers and improving over basic obfuscation, the approaches enable broader deployment of vision-based systems without compromising privacy, potentially expanding applications in urban environments.</t>
  </si>
  <si>
    <t>The content does not explicitly identify limitations, future work, or challenges in the provided abstract and references. Insufficient relevant content for this section.</t>
  </si>
  <si>
    <t>This paper explores privacy protection for pedestrian image data from urban video cameras, extending differential privacy and k-anonymity to mitigate concerns while supporting smart city uses. It evaluates these methods on cross-camera person re-identification and demographic predictions, showing they effectively reduce privacy risks at the data source with acceptable utility retention, outperforming traditional obfuscation techniques.</t>
  </si>
  <si>
    <t>The primary goals of the study are to develop a privacy-preserving framework for edge-cloud visual analysis that obfuscates video frames to enable pedestrian detection while minimizing the retention of sensitive personal information, such as attributes used for identification. This approach aims to maintain high detection accuracy without modifying the downstream detection model, requiring no labeled sensitive data, and ensuring compatibility with third-party software. The framework is applied to pedestrian detection as a representative task for smart city applications, with validation through comparisons to other obfuscation methods and assessments of efficiency, generalizability, and privacy-utility tradeoffs.</t>
  </si>
  <si>
    <t>The proposed framework uses Generative Adversarial Privacy (GAP) with an adversarial obfuscator based on two autoencoders: an obfuscator (O) that transforms input frames to retain features for pedestrian detection while hindering reconstruction, and a deobfuscator (D) that attempts to reconstruct the original image. Both are built on the MobileNet architecture for edge device suitability. Training alternates between minimizing the object detection loss (L_obj) for utility and maximizing the reconstruction loss (L_rec, using MSE) for privacy, with the obfuscator loss defined as L_O = α_obj L_obj - α_rec L_rec (α_obj = α_rec = 1). The object detection model (pre-trained Faster R-CNN) is included in the training loop for gradient descent. Experiments use three datasets (Avenues, ShanghaiTech Campus, WILDTRACK) with pseudo-labels generated via Faster R-CNN (confidence ≥90%), resized to 200×320 pixels at 5 fps. Training involves 30 epochs with AdamW optimizer, initial learning rate 1×10^{-3}, and mixed precision. Utility is evaluated by Average Precision (AP) for pedestrian detection using PASCAL VOC criteria. Privacy is assessed by training Pedestrian Attribute Recognition (PAR) models (Jia et al. and VTB, on UPAR dataset for 40 binary attributes) on obfuscated crops, measuring mean Accuracy (mA), where ~0.5 indicates effective privacy (near-random guessing). Comparisons include classic methods (blurring with 9×9 kernel, 7.5% noise, 8-level quantization, 1/3 pixelation) tuned to ~90% AP, and deep learning methods (Mask R-CNN with blur/mask-out, DeepPrivacy2). Additional tests cover cross-camera generalization, edge suitability (MACs, parameters, execution time on Jetson AGX Orin), cross-model independence, and model complexity tradeoffs.</t>
  </si>
  <si>
    <t>- Pedestrian Detection (Utility): AP on obfuscated frames reaches ~90% across datasets (e.g., 88-95% on ShanghaiTech cameras, variable on WILDTRACK due to high density), comparable to originals. - Privacy via PAR: mA drops significantly on obfuscated data (e.g., 53-60% for Jia model on ShanghaiTech/WILDTRACK, 66% on Avenues; 50-56% for VTB), approaching random guessing (0.5), outperforming reconstructed frames. Avenues shows less degradation due to attribute imbalance. - Comparison with Other Techniques: At ~90% AP, adversarial obfuscation yields lowest PAR mA (e.g., 54% vs. 70-80% for classic methods; better than Mask R-CNN variants and DeepPrivacy2, which leak privacy via missed detections &gt;33%). It requires fewer parameters (0.7M vs. 44-138M) and faster execution (5.5 ms/frame vs. 20-100+ ms on Jetson AGX Orin). - Cross-Camera Generalization: Maintains ~90% AP and low mA (~55%) on unseen ShanghaiTech cameras; mixed on WILDTRACK (good for most, drop on camera 6 due to viewpoint). - Edge Suitability: Obfuscator has 0.15 GMACs and 0.7M parameters (vs. 100x more for YOLOv8 nano), processing frames in 5.5 ms. - Cross-Model Independence: Significant AP drop (e.g., &lt;70%) on models with different backbones/heads; limited compatibility only with similar architectures. - Model Complexity Tradeoff: Reducing complexity (MACs/parameters) keeps utility stable at ~90% until models are too small (sharp drop), while privacy improves (lower mA) inversely, but tuning is not ideal due to uneven impact.</t>
  </si>
  <si>
    <t>Adversarial obfuscation enables ~90% pedestrian detection accuracy while reducing PAR mA to near-random levels, superior to classic (blurring, noising) and deep learning-based (DeepPrivacy2) methods at equivalent utility. The method is lightweight for edge deployment, generalizes across cameras from the same dataset, but depends on the training detection model and requires white-box access. Privacy is validated by degraded PAR performance, focusing on attributes like age, gender, and clothing without needing sensitive labels. Obfuscation applies to entire frames, avoiding detection-based errors in two-step methods, and supports opt-in utility without downstream model changes.</t>
  </si>
  <si>
    <t>The framework enhances privacy in smart city video surveillance by allowing cloud-based analysis of obfuscated data, reducing data leakage risks while leveraging cloud scalability and cost benefits over full edge computation. It promotes compatibility with existing detection models and third-party tools, facilitating broader adoption in urban applications like crowd management. By minimizing sensitive attribute inference without predefined labels, it addresses vulnerabilities in AI-driven systems, potentially influencing standards for privacy-preserving edge-cloud pipelines in connected environments.</t>
  </si>
  <si>
    <t>The approach requires white-box access to the object detection model's weights and loss function, limiting use with black-box cloud services. It lacks independence from the training detection model, showing poor generalization across different architectures. No ground-truth labels exist for datasets, relying on pseudo-labels that may introduce noise. Privacy metrics depend on PAR, which assumes attributes as sensitive but lacks a universal definition or label-free alternatives. Future work includes developing label-free privacy metrics, improving model independence, testing in Trusted Execution Environments, and extending to non-stationary cameras (e.g., smart cars).</t>
  </si>
  <si>
    <t>This paper introduces an adversarial obfuscation framework using Generative Adversarial Privacy for privacy-preserving pedestrian detection in edge-cloud video analysis. An autoencoder-based obfuscator transforms frames to preserve detection utility (~90% AP) while degrading sensitive attribute recognition (PAR mA ~50-66%), outperforming classic and deep learning obfuscation methods in privacy-utility balance, efficiency, and edge suitability. Evaluated on Avenues, ShanghaiTech, and WILDTRACK datasets, it generalizes across cameras but not detection models. The work highlights implications for smart cities and identifies gaps in model independence and label-free metrics.</t>
  </si>
  <si>
    <t>The study aims to address limitations in pedestrian detection using RGB images, such as privacy issues and performance degradation in varying scenarios that require time-consuming fine-tuning and transfer learning. The clear goals include evaluating thermal image analysis for enhanced privacy preservation and conducting a deep study on geometric and photometric data augmentation techniques to create more flexible trained models, enabling adoption across different scenarios without additional data acquisition, labeling, or fine-tuning.</t>
  </si>
  <si>
    <t>The approach involves using thermal images for pedestrian detection to ensure higher privacy compared to RGB data. A detailed evaluation of geometric and photometric data augmentation techniques is performed to enhance model flexibility. Datasets referenced include LLVIP (a visible-infrared paired dataset for low-light vision) and the Teledyne FLIR dataset. Object detection is based on deep learning models, with YOLOv5 by Ultralytics and YOLOv4 mentioned for implementation, alongside techniques like Path Aggregation Network for instance segmentation.</t>
  </si>
  <si>
    <t>The content does not provide specific key outcomes or data from experiments, such as quantitative performance metrics or comparisons between augmentation techniques. References to related works (e.g., YOLOv3 vs. YOLOv5 performance studies) suggest potential improvements in real-time detection, but no direct results from this paper's evaluation are detailed.</t>
  </si>
  <si>
    <t>Thermal cameras offer privacy advantages over RGB images for video surveillance tasks like pedestrian detection, tracking, and trajectory estimation. Data augmentation, including geometric and photometric methods, is crucial for training robust deep learning-based object detectors without needing extensive retraining. Advancements in models like YOLO variants enable accurate localization of pedestrians in thermal images, addressing challenges in changing scenarios.</t>
  </si>
  <si>
    <t>The findings support broader deployment of privacy-preserving surveillance systems in smart cities and public spaces, simplifying model adaptation to new environments. This reduces the need for resource-intensive processes like fine-tuning, potentially improving applications in people counting, abnormal object detection, and integrated mobility solutions.</t>
  </si>
  <si>
    <t>The content identifies challenges such as privacy issues with RGB data under regulations like GDPR, performance drops in varying application scenarios, and the need for time-consuming fine-tuning or transfer learning. It references prior works on domain shift in thermal pedestrian detection without fine-tuning, indicating ongoing gaps in flexible model training. Future work may involve further exploration of augmentation for small object detection and extreme weather conditions, as noted in cited studies.</t>
  </si>
  <si>
    <t>This paper evaluates geometric and photometric data augmentation techniques for improving pedestrian detection using thermal cameras, focusing on privacy preservation and model flexibility. It addresses RGB image limitations in surveillance by leveraging thermal data and deep learning detectors like YOLOv5, drawing on datasets such as LLVIP and FLIR to enable scenario-agnostic deployment without extensive retraining.</t>
  </si>
  <si>
    <t>The primary goal of the study is to explore the legal and ethical implications of EU regulation on automated crowd analysis, specifically addressing the ethical concerns of bias, privacy, accuracy, and accountability. The central research question is: To what extent do the AI Act and related legislation address these ethical concerns in automated crowd analysis, and what recommendations can be made to stakeholders building and using these systems? The study focuses on the intersection of law, technology, and ethics in AI-based crowd analysis for safety enhancement, while highlighting risks in real-world deployment.</t>
  </si>
  <si>
    <t>The study employs a regulatory analysis with ethical evaluation framework. It begins by reviewing and discussing relevant EU regulations, including the GDPR (Regulation (EU) 2016/679) and the AI Act (adopted in May 2024). This is followed by an examination of practical and ethical concerns in automated crowd analysis that remain unaddressed or beyond the scope of these regulations, structured around the themes of privacy, bias and accuracy, and accountability. For each theme, concerns are identified based on legislative gaps, and recommendations are derived through ethical considerations grounded in legal requirements. The analysis assumes data collection for non-law enforcement purposes and draws on examples from crowd management contexts, such as public events and pilgrimages.</t>
  </si>
  <si>
    <t>The analysis reveals that the GDPR and AI Act provide a foundation for regulating AI in crowd analysis but leave several gaps. Key findings include: (1) GDPR requires notification of data use and extra protections for children/vulnerable groups, but these are impractical in large public crowds; (2) AI Act prohibits real-time remote biometric identification for law enforcement (with exceptions), emotion recognition in workplaces/education, and predictive crime systems, while classifying many crowd analysis systems (e.g., emotion recognition, biometric categorisation) as high-risk, mandating transparency, human oversight, and accuracy; (3) Privacy concerns persist due to infeasible notifications and trade-offs between safety and autonomy; (4) Bias and accuracy issues arise from allowances for behavioral prediction, potentially leading to unfair outcomes; (5) Accountability challenges occur even with human oversight, as decision-making AI systems increase error risks. Tables 1-3 summarize legal requirements, concerns, and recommendations per theme. Overall, automated crowd analysis is permissible under strict conditions but requires adherence to public interest justifications and risk categorizations.</t>
  </si>
  <si>
    <t>EU regulations (GDPR and AI Act) address ethical concerns partially by emphasizing data protection, risk-based AI categorization, transparency, human oversight, and prohibitions on high-risk uses like predictive profiling, but fail to fully resolve practical issues in dynamic crowd environments. Privacy is undermined in large crowds where individual consent and notifications are infeasible, and safety gains conflict with autonomy rights. Bias and accuracy are mitigated through requirements for robustness and detection over prediction, but cultural/contextual factors and prediction allowances risk discriminatory outcomes. Accountability is ensured via human-in-the-loop mandates, yet automated decision suggestions heighten error potential, emphasizing the need for ethical responsibility beyond legal compliance. Recommendations prioritize crowd-level (non-personal) data analysis, detection-focused systems, contextual adaptations, stakeholder moral accountability, and scientist adherence to non-research regulations.</t>
  </si>
  <si>
    <t>The study underscores the broader impacts of AI-based crowd analysis on fundamental rights, including privacy, non-discrimination, and human dignity, as protected under EU law. It highlights how regulations like the AI Act complement GDPR to balance innovation with safety, enabling safer public events (e.g., pilgrimages, Olympics) while mitigating risks of harm from biased or inaccurate AI. Ethically, it promotes a shift toward privacy-preserving, human-centered systems that prioritize public interest without violating autonomy, potentially influencing global AI governance. For stakeholders (developers, managers, scientists), it stresses integrating ethical practices to build trust, reduce discrimination, and ensure accountability, fostering competitive yet rights-respecting AI deployment in crowd management. The recommendations serve as a universal framework for ethical AI use, applicable beyond the EU to protect citizens' rights while advancing societal benefits like accident prevention.</t>
  </si>
  <si>
    <t>The study identifies limitations in current regulations, such as the infeasibility of GDPR notifications and protections in large, uncontrolled crowds; ambiguities in AI Act definitions (e.g., "characteristics" for high-risk categorization, allowances for non-crime predictions); and insufficient coverage of trade-offs between safety and privacy. Challenges include achieving high accuracy in uncontrolled environments, mitigating cultural biases in emotion/behavior detection, and ensuring human oversight without increasing errors in decision-making. Future work should address global influences on EU regulations, comparative analyses of worldwide AI governance, and the societal relevance of research on prohibited systems. The analysis is limited to EU contexts and non-law enforcement uses, noting potential biases in interpretations, and calls for field-specific guidelines, education, and discussions on moral beliefs to bridge these gaps.</t>
  </si>
  <si>
    <t>This paper examines the legal and ethical implications of EU regulations (GDPR and AI Act) on AI-based automated crowd analysis for safety in densely populated areas. Through regulatory analysis and ethical evaluation, it assesses how these laws address concerns of privacy, bias/accuracy, and accountability, finding partial coverage with remaining practical gaps like notification challenges in large crowds and risks from predictive systems. It provides recommendations for stakeholders, including using crowd-level data, focusing on detection over prediction, ensuring contextual awareness, and emphasizing moral responsibility beyond compliance. The study concludes that such analysis should serve public safety under strict conditions, preserving human autonomy, and advocates for ethical discussions to guide future implementations, with universal applicability despite its EU focus.</t>
  </si>
  <si>
    <t>To provide comprehensive review on top-view surveillance videos for pedestrian detection, tracking, behavior recognition in public spaces.</t>
  </si>
  <si>
    <t>Reviewed techniques, setups, datasets, methodologies, FOV, features, ROI, color space.</t>
  </si>
  <si>
    <t>Advantages: reduce occlusions, preserve privacy; limitations: restricted FOV, algorithm adaptation.</t>
  </si>
  <si>
    <t>Top-view benefits, knowledge gaps in transport hubs.</t>
  </si>
  <si>
    <t>Insights for crowd management in transport hubs.</t>
  </si>
  <si>
    <t>Advanced algorithms, standardized datasets for dynamic crowds.</t>
  </si>
  <si>
    <t>Review highlights top-view cameras' role in privacy-preserving pedestrian analysis.</t>
  </si>
  <si>
    <t>To present pedestrian tracking algorithm using 3D LiDARs for privacy-preserving flow tracking, bridging blind spots.</t>
  </si>
  <si>
    <t>Distributed LiDARs capture point clouds; use historical data, features, generative diffusion model for trajectories in blind spots.</t>
  </si>
  <si>
    <t>0.98 F-measure in large testbed with 70 LiDARs.</t>
  </si>
  <si>
    <t>LiDAR, diffusion model, privacy via point clouds.</t>
  </si>
  <si>
    <t>Leading privacy-preserving tracking solution.</t>
  </si>
  <si>
    <t>Blind spots near sensitive areas.</t>
  </si>
  <si>
    <t>LiDAR-based tracking with diffusion for blind spots achieves high accuracy privacy-preservingly.</t>
  </si>
  <si>
    <t>To introduce privacy-by-design framework for AIoT urban systems with anonymized vision data.</t>
  </si>
  <si>
    <t>Embedded system captures privacy-protected data, integrates into AI pipelines. Experiments in urban monitoring.</t>
  </si>
  <si>
    <t>Preserves privacy without compromising AI performance.</t>
  </si>
  <si>
    <t>Anonymization, edge AI, urban systems.</t>
  </si>
  <si>
    <t>Strong privacy in computer vision apps.</t>
  </si>
  <si>
    <t>Privacy in AIoT vision.</t>
  </si>
  <si>
    <t>Framework anonymizes data for AIoT, maintaining performance.</t>
  </si>
  <si>
    <t>To achieve trade-off between accuracy and speed for deep-learning pedestrian detection in smart cameras.</t>
  </si>
  <si>
    <t>Architecture with separable convolutions, dense connections, multi-scale fusion. Elaborate loss, anchor-less. Evaluated on PETS2009, implemented on Jetson TX2.</t>
  </si>
  <si>
    <t>Over 30 FPS, 86% detection rate, outperforms existing models.</t>
  </si>
  <si>
    <t>Efficient architecture, real-time, on-device.</t>
  </si>
  <si>
    <t>Enhances smart camera applications.</t>
  </si>
  <si>
    <t>Scaling complex models to constrained devices.</t>
  </si>
  <si>
    <t>YOLOpeds provides efficient real-time pedestrian detection for smart cameras.</t>
  </si>
  <si>
    <t>To develop contextual approach to obfuscation in SLIPs beyond object-based, addressing indiscriminate data collection.</t>
  </si>
  <si>
    <t>Analysis of current obfuscation, proposal for contextually-dependent identification assessing privacy risk.</t>
  </si>
  <si>
    <t>Need for context-sensitive privacy detection and PbD processes.</t>
  </si>
  <si>
    <t>Contextual identification, automated solutions, risk management.</t>
  </si>
  <si>
    <t>Better addresses SLIP privacy concerns.</t>
  </si>
  <si>
    <t>Blunt object obfuscation; technical challenges in contextual assessment.</t>
  </si>
  <si>
    <t>Advocates context-dependent privacy in SLIPs for improved risk management.</t>
  </si>
  <si>
    <t>To review crowd monitoring systems, emphasizing privacy-preserving techniques.</t>
  </si>
  <si>
    <t>Survey of conventional vision-based and new privacy-preserving methods.</t>
  </si>
  <si>
    <t>Importance of privacy in monitoring; development of non-invasive techniques.</t>
  </si>
  <si>
    <t>Public safety, privacy concerns, future directions.</t>
  </si>
  <si>
    <t>Helpful for advanced monitoring techniques.</t>
  </si>
  <si>
    <t>Data privacy in vision approaches; need for minimal participation.</t>
  </si>
  <si>
    <t>Overview of crowd monitoring, advocating privacy-preserving methods.</t>
  </si>
  <si>
    <t>To propose scheme for locating persons using surveillance with privacy via federated learning and encryption.</t>
  </si>
  <si>
    <t>Use ML model over embedding vectors, federated learning for privacy, modified inner product encryption. Experiments on datasets.</t>
  </si>
  <si>
    <t>Accurate location with low overhead, privacy preserved.</t>
  </si>
  <si>
    <t>Federated learning, encrypted inner product, surveillance.</t>
  </si>
  <si>
    <t>Aids law enforcement without privacy breach.</t>
  </si>
  <si>
    <t>Sensitive info leakage; efficiency in multi-party.</t>
  </si>
  <si>
    <t>Privacy-preserving localization using FL and encryption.</t>
  </si>
  <si>
    <t>To introduce framework for privacy-preserving pedestrian analysis by anonymizing pedestrians.</t>
  </si>
  <si>
    <t>Use 3D wireframe reconstruction and inpainting to remove images while preserving pose/shape/context. Evaluate with privacy/utility metrics.</t>
  </si>
  <si>
    <t>Better trade-off than filtering approaches.</t>
  </si>
  <si>
    <t>Wireframes, anonymization, trade-off metric.</t>
  </si>
  <si>
    <t>Towards sustainable urban infrastructure.</t>
  </si>
  <si>
    <t>Privacy-invasive tracking; need for anonymization.</t>
  </si>
  <si>
    <t>Framework anonymizes pedestrians for analysis with good privacy-utility.</t>
  </si>
  <si>
    <t>To propose PPPD scheme for pedestrian detection with privacy using VHE.</t>
  </si>
  <si>
    <t>VHE for HOG feature extraction over encrypted images, encrypted kernels for SVM. Experiments on datasets.</t>
  </si>
  <si>
    <t>High accuracy, lower overhead than existing.</t>
  </si>
  <si>
    <t>VHE, encrypted processing, privacy.</t>
  </si>
  <si>
    <t>Secure detection without decryption.</t>
  </si>
  <si>
    <t>Communication costs; privacy in processing.</t>
  </si>
  <si>
    <t>PPPD enables encrypted pedestrian detection with high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</si>
</sst>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79">
    <font>
      <sz val="10"/>
      <color rgb="FF000000"/>
      <name val="Arial"/>
      <scheme val="minor"/>
    </font>
    <font>
      <sz val="11"/>
      <color theme="1"/>
      <name val="Arial"/>
      <family val="2"/>
      <scheme val="minor"/>
    </font>
    <font>
      <sz val="11"/>
      <color theme="1"/>
      <name val="Arial"/>
      <family val="2"/>
      <scheme val="minor"/>
    </font>
    <font>
      <b/>
      <sz val="12"/>
      <color rgb="FF000000"/>
      <name val="Times New Roman"/>
      <family val="1"/>
    </font>
    <font>
      <sz val="11"/>
      <color theme="1"/>
      <name val="Roboto"/>
    </font>
    <font>
      <u/>
      <sz val="11"/>
      <color rgb="FF1155CC"/>
      <name val="Roboto"/>
    </font>
    <font>
      <sz val="11"/>
      <color rgb="FF1F1F1F"/>
      <name val="Roboto"/>
    </font>
    <font>
      <sz val="11"/>
      <color rgb="FF000000"/>
      <name val="Roboto"/>
    </font>
    <font>
      <sz val="10"/>
      <color theme="1"/>
      <name val="Arial"/>
      <family val="2"/>
      <scheme val="minor"/>
    </font>
    <font>
      <sz val="12"/>
      <color theme="1"/>
      <name val="&quot;Times New Roman&quot;"/>
    </font>
    <font>
      <sz val="11"/>
      <color rgb="FF1155CC"/>
      <name val="Roboto"/>
    </font>
    <font>
      <sz val="11"/>
      <color rgb="FF222222"/>
      <name val="Roboto"/>
    </font>
    <font>
      <sz val="11"/>
      <color rgb="FF1C1D1E"/>
      <name val="Roboto"/>
    </font>
    <font>
      <sz val="10"/>
      <color theme="1"/>
      <name val="Arial"/>
      <family val="2"/>
    </font>
    <font>
      <u/>
      <sz val="12"/>
      <color theme="1"/>
      <name val="&quot;Times New Roman&quot;"/>
    </font>
    <font>
      <b/>
      <sz val="10"/>
      <color rgb="FF000000"/>
      <name val="Arial"/>
      <family val="2"/>
      <scheme val="minor"/>
    </font>
    <font>
      <b/>
      <sz val="10"/>
      <color rgb="FF000000"/>
      <name val="Roboto"/>
    </font>
    <font>
      <sz val="10"/>
      <color rgb="FF000000"/>
      <name val="Roboto"/>
    </font>
    <font>
      <sz val="10"/>
      <color theme="1"/>
      <name val="Roboto"/>
    </font>
    <font>
      <b/>
      <sz val="10"/>
      <color theme="1"/>
      <name val="Arial"/>
      <family val="2"/>
      <scheme val="minor"/>
    </font>
    <font>
      <sz val="14"/>
      <color rgb="FF006699"/>
      <name val="&quot;HelveticaNeue Regular&quot;"/>
    </font>
    <font>
      <sz val="10"/>
      <color rgb="FF000000"/>
      <name val="&quot;HelveticaNeue Regular&quot;"/>
    </font>
    <font>
      <u/>
      <sz val="10"/>
      <color rgb="FF0000FF"/>
      <name val="Arial"/>
      <family val="2"/>
    </font>
    <font>
      <u/>
      <sz val="10"/>
      <color rgb="FF000000"/>
      <name val="&quot;HelveticaNeue Regular&quot;"/>
    </font>
    <font>
      <u/>
      <sz val="10"/>
      <color rgb="FF000000"/>
      <name val="&quot;HelveticaNeue Regular&quot;"/>
    </font>
    <font>
      <u/>
      <sz val="10"/>
      <color rgb="FF0000FF"/>
      <name val="Arial"/>
      <family val="2"/>
    </font>
    <font>
      <sz val="10"/>
      <color rgb="FF1F1F1F"/>
      <name val="Arial"/>
      <family val="2"/>
      <scheme val="minor"/>
    </font>
    <font>
      <b/>
      <sz val="10"/>
      <color rgb="FF000000"/>
      <name val="Arial"/>
      <family val="2"/>
      <scheme val="minor"/>
    </font>
    <font>
      <sz val="10"/>
      <color rgb="FF000000"/>
      <name val="Arial"/>
      <family val="2"/>
    </font>
    <font>
      <u/>
      <sz val="10"/>
      <color rgb="FF0000FF"/>
      <name val="Arial"/>
      <family val="2"/>
    </font>
    <font>
      <sz val="10"/>
      <color theme="1"/>
      <name val="Arial"/>
      <family val="2"/>
      <scheme val="minor"/>
    </font>
    <font>
      <sz val="10"/>
      <color rgb="FF1F1F1F"/>
      <name val="Arial"/>
      <family val="2"/>
      <scheme val="minor"/>
    </font>
    <font>
      <u/>
      <sz val="10"/>
      <color rgb="FF000000"/>
      <name val="Arial"/>
      <family val="2"/>
    </font>
    <font>
      <sz val="10"/>
      <color rgb="FF000000"/>
      <name val="&quot;Font Awesome 5 Pro&quot;"/>
    </font>
    <font>
      <sz val="11"/>
      <color rgb="FF000000"/>
      <name val="Arial"/>
      <family val="2"/>
    </font>
    <font>
      <u/>
      <sz val="10"/>
      <color rgb="FF000000"/>
      <name val="&quot;HelveticaNeue Regular&quot;"/>
    </font>
    <font>
      <u/>
      <sz val="10"/>
      <color rgb="FF0000FF"/>
      <name val="Arial"/>
      <family val="2"/>
    </font>
    <font>
      <b/>
      <sz val="9"/>
      <color rgb="FF1F1F1F"/>
      <name val="&quot;Google Sans&quot;"/>
    </font>
    <font>
      <u/>
      <sz val="10"/>
      <color rgb="FF0000FF"/>
      <name val="Arial"/>
      <family val="2"/>
    </font>
    <font>
      <sz val="10"/>
      <color rgb="FFE8E8E8"/>
      <name val="Google Sans"/>
    </font>
    <font>
      <b/>
      <u/>
      <sz val="10"/>
      <color rgb="FF6D9EEB"/>
      <name val="Arial"/>
      <family val="2"/>
    </font>
    <font>
      <sz val="13"/>
      <color rgb="FF686868"/>
      <name val="Interstate Light"/>
    </font>
    <font>
      <u/>
      <sz val="11"/>
      <color rgb="FF1155CC"/>
      <name val="Roboto"/>
    </font>
    <font>
      <u/>
      <sz val="10"/>
      <color rgb="FF1155CC"/>
      <name val="Arial"/>
      <family val="2"/>
    </font>
    <font>
      <b/>
      <u/>
      <sz val="26"/>
      <color rgb="FFA0A09F"/>
      <name val="Arial"/>
      <family val="2"/>
    </font>
    <font>
      <u/>
      <sz val="10"/>
      <color rgb="FF6D9EEB"/>
      <name val="Arial"/>
      <family val="2"/>
    </font>
    <font>
      <b/>
      <sz val="20"/>
      <color theme="1"/>
      <name val="Open Sans"/>
      <family val="2"/>
    </font>
    <font>
      <sz val="10"/>
      <color rgb="FF1C1E21"/>
      <name val="Arial"/>
      <family val="2"/>
    </font>
    <font>
      <b/>
      <sz val="10"/>
      <color rgb="FF0F0F0F"/>
      <name val="DM Sans"/>
    </font>
    <font>
      <sz val="14"/>
      <color rgb="FF2A2A2A"/>
      <name val="Open Sans"/>
      <family val="2"/>
    </font>
    <font>
      <u/>
      <sz val="12"/>
      <color theme="1"/>
      <name val="Arial"/>
      <family val="2"/>
    </font>
    <font>
      <sz val="12"/>
      <color theme="1"/>
      <name val="Arial"/>
      <family val="2"/>
    </font>
    <font>
      <b/>
      <sz val="10"/>
      <color theme="1"/>
      <name val="Arial"/>
      <family val="2"/>
    </font>
    <font>
      <b/>
      <sz val="10"/>
      <color rgb="FF000000"/>
      <name val="Arial"/>
      <family val="2"/>
    </font>
    <font>
      <b/>
      <sz val="11"/>
      <color theme="1"/>
      <name val="Roboto"/>
    </font>
    <font>
      <u/>
      <sz val="11"/>
      <color rgb="FF0000FF"/>
      <name val="Roboto"/>
    </font>
    <font>
      <b/>
      <sz val="10"/>
      <color theme="1"/>
      <name val="Arial"/>
      <family val="2"/>
      <scheme val="minor"/>
    </font>
    <font>
      <sz val="10"/>
      <color rgb="FF000000"/>
      <name val="&quot;Open Sans&quot;"/>
    </font>
    <font>
      <sz val="10"/>
      <color rgb="FF1F1F1F"/>
      <name val="&quot;Google Sans&quot;"/>
    </font>
    <font>
      <sz val="10"/>
      <color rgb="FF000000"/>
      <name val="Unset"/>
    </font>
    <font>
      <u/>
      <sz val="10"/>
      <color rgb="FF000000"/>
      <name val="&quot;Open Sans&quot;"/>
    </font>
    <font>
      <u/>
      <sz val="11"/>
      <color rgb="FF1F1F1F"/>
      <name val="Roboto"/>
    </font>
    <font>
      <u/>
      <sz val="11"/>
      <color rgb="FF1F1F1F"/>
      <name val="Roboto"/>
    </font>
    <font>
      <u/>
      <sz val="11"/>
      <color rgb="FF000000"/>
      <name val="Roboto"/>
    </font>
    <font>
      <u/>
      <sz val="10"/>
      <color theme="10"/>
      <name val="Arial"/>
      <family val="2"/>
      <scheme val="minor"/>
    </font>
    <font>
      <b/>
      <sz val="10"/>
      <color theme="1"/>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0"/>
      <color theme="1"/>
      <name val="Arial"/>
      <family val="2"/>
      <scheme val="minor"/>
    </font>
    <font>
      <u/>
      <sz val="10"/>
      <color theme="10"/>
      <name val="Arial"/>
      <family val="2"/>
      <scheme val="minor"/>
    </font>
    <font>
      <sz val="11"/>
      <color rgb="FF222222"/>
      <name val="Arial"/>
      <family val="2"/>
      <scheme val="minor"/>
    </font>
    <font>
      <sz val="11"/>
      <color rgb="FF000000"/>
      <name val="Arial"/>
      <family val="2"/>
      <scheme val="minor"/>
    </font>
    <font>
      <sz val="11"/>
      <color rgb="FF1F1F1F"/>
      <name val="Arial"/>
      <family val="2"/>
      <scheme val="minor"/>
    </font>
    <font>
      <u/>
      <sz val="10"/>
      <color rgb="FF000000"/>
      <name val="Arial"/>
      <family val="2"/>
      <scheme val="minor"/>
    </font>
    <font>
      <sz val="10"/>
      <color rgb="FF333333"/>
      <name val="Open Sans"/>
      <family val="2"/>
    </font>
    <font>
      <b/>
      <sz val="10"/>
      <color rgb="FF000000"/>
      <name val="Times New Roman"/>
      <family val="1"/>
    </font>
    <font>
      <sz val="10"/>
      <color rgb="FF000000"/>
      <name val="Times New Roman"/>
      <family val="1"/>
    </font>
    <font>
      <sz val="10"/>
      <color rgb="FF333333"/>
      <name val="Arial"/>
      <family val="2"/>
      <scheme val="minor"/>
    </font>
  </fonts>
  <fills count="13">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D9D2E9"/>
        <bgColor rgb="FFD9D2E9"/>
      </patternFill>
    </fill>
    <fill>
      <patternFill patternType="solid">
        <fgColor rgb="FFFFE599"/>
        <bgColor rgb="FFFFE599"/>
      </patternFill>
    </fill>
    <fill>
      <patternFill patternType="solid">
        <fgColor theme="0" tint="-0.14999847407452621"/>
        <bgColor rgb="FFFFFF00"/>
      </patternFill>
    </fill>
    <fill>
      <patternFill patternType="solid">
        <fgColor theme="0" tint="-0.14999847407452621"/>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4">
    <xf numFmtId="0" fontId="0" fillId="0" borderId="0"/>
    <xf numFmtId="0" fontId="64" fillId="0" borderId="0" applyNumberFormat="0" applyFill="0" applyBorder="0" applyAlignment="0" applyProtection="0"/>
    <xf numFmtId="0" fontId="67" fillId="0" borderId="0"/>
    <xf numFmtId="0" fontId="70" fillId="0" borderId="0" applyNumberFormat="0" applyFill="0" applyBorder="0" applyAlignment="0" applyProtection="0"/>
  </cellStyleXfs>
  <cellXfs count="135">
    <xf numFmtId="0" fontId="0" fillId="0" borderId="0" xfId="0"/>
    <xf numFmtId="0" fontId="3" fillId="2" borderId="0" xfId="0" applyFont="1" applyFill="1"/>
    <xf numFmtId="0" fontId="3" fillId="2" borderId="0" xfId="0" applyFont="1" applyFill="1" applyAlignment="1">
      <alignment horizontal="left" vertical="top"/>
    </xf>
    <xf numFmtId="0" fontId="4" fillId="2" borderId="0" xfId="0" applyFont="1" applyFill="1" applyAlignment="1">
      <alignment horizontal="left" vertical="top"/>
    </xf>
    <xf numFmtId="0" fontId="4" fillId="4" borderId="0" xfId="0" applyFont="1" applyFill="1" applyAlignment="1">
      <alignment horizontal="left" vertical="top"/>
    </xf>
    <xf numFmtId="0" fontId="8" fillId="0" borderId="0" xfId="0" applyFont="1"/>
    <xf numFmtId="0" fontId="4" fillId="2" borderId="0" xfId="0" applyFont="1" applyFill="1" applyAlignment="1">
      <alignment horizontal="left" vertical="center"/>
    </xf>
    <xf numFmtId="0" fontId="10" fillId="2" borderId="0" xfId="0" applyFont="1" applyFill="1" applyAlignment="1">
      <alignment horizontal="left" vertical="top"/>
    </xf>
    <xf numFmtId="0" fontId="13" fillId="2" borderId="0" xfId="0" applyFont="1" applyFill="1" applyAlignment="1">
      <alignment vertical="top"/>
    </xf>
    <xf numFmtId="0" fontId="9" fillId="2" borderId="0" xfId="0" applyFont="1" applyFill="1"/>
    <xf numFmtId="0" fontId="13" fillId="0" borderId="0" xfId="0" applyFont="1"/>
    <xf numFmtId="0" fontId="14" fillId="2" borderId="0" xfId="0" applyFont="1" applyFill="1"/>
    <xf numFmtId="0" fontId="18" fillId="0" borderId="0" xfId="0" applyFont="1"/>
    <xf numFmtId="0" fontId="19" fillId="0" borderId="0" xfId="0" applyFont="1"/>
    <xf numFmtId="0" fontId="8" fillId="2" borderId="0" xfId="0" applyFont="1" applyFill="1"/>
    <xf numFmtId="0" fontId="30" fillId="0" borderId="0" xfId="0" applyFont="1"/>
    <xf numFmtId="0" fontId="54" fillId="0" borderId="0" xfId="0" applyFont="1"/>
    <xf numFmtId="0" fontId="4" fillId="0" borderId="0" xfId="0" applyFont="1"/>
    <xf numFmtId="0" fontId="64" fillId="0" borderId="0" xfId="1"/>
    <xf numFmtId="0" fontId="15" fillId="11" borderId="0" xfId="0" applyFont="1" applyFill="1"/>
    <xf numFmtId="0" fontId="66" fillId="11" borderId="0" xfId="0" applyFont="1" applyFill="1"/>
    <xf numFmtId="0" fontId="0" fillId="12" borderId="0" xfId="0" applyFill="1"/>
    <xf numFmtId="0" fontId="15" fillId="0" borderId="0" xfId="0" applyFont="1"/>
    <xf numFmtId="0" fontId="17" fillId="0" borderId="0" xfId="0" applyFont="1"/>
    <xf numFmtId="0" fontId="23" fillId="0" borderId="0" xfId="0" applyFont="1"/>
    <xf numFmtId="0" fontId="28" fillId="0" borderId="0" xfId="0" applyFont="1"/>
    <xf numFmtId="0" fontId="22" fillId="0" borderId="0" xfId="0" applyFont="1"/>
    <xf numFmtId="0" fontId="26" fillId="0" borderId="0" xfId="0" applyFont="1"/>
    <xf numFmtId="0" fontId="21" fillId="0" borderId="0" xfId="0" applyFont="1"/>
    <xf numFmtId="0" fontId="34" fillId="0" borderId="0" xfId="0" applyFont="1"/>
    <xf numFmtId="0" fontId="32" fillId="0" borderId="0" xfId="0" applyFont="1"/>
    <xf numFmtId="0" fontId="24" fillId="0" borderId="0" xfId="0" applyFont="1"/>
    <xf numFmtId="0" fontId="25"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13" fillId="0" borderId="0" xfId="0" applyFont="1" applyAlignment="1">
      <alignment vertical="top"/>
    </xf>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applyAlignment="1">
      <alignment horizontal="center"/>
    </xf>
    <xf numFmtId="0" fontId="45" fillId="0" borderId="0" xfId="0" applyFont="1"/>
    <xf numFmtId="0" fontId="46" fillId="0" borderId="0" xfId="0" applyFont="1" applyAlignment="1">
      <alignment horizontal="center"/>
    </xf>
    <xf numFmtId="0" fontId="47" fillId="0" borderId="0" xfId="0" applyFont="1" applyAlignment="1">
      <alignment wrapText="1"/>
    </xf>
    <xf numFmtId="0" fontId="48" fillId="0" borderId="0" xfId="0" applyFont="1"/>
    <xf numFmtId="0" fontId="19" fillId="0" borderId="0" xfId="0" applyFont="1" applyAlignment="1">
      <alignment horizontal="center"/>
    </xf>
    <xf numFmtId="0" fontId="49" fillId="0" borderId="0" xfId="0" applyFont="1"/>
    <xf numFmtId="0" fontId="50" fillId="0" borderId="0" xfId="0" applyFont="1"/>
    <xf numFmtId="0" fontId="51" fillId="0" borderId="0" xfId="0" applyFont="1"/>
    <xf numFmtId="0" fontId="52" fillId="0" borderId="0" xfId="0" applyFont="1" applyAlignment="1">
      <alignment horizontal="center" wrapText="1"/>
    </xf>
    <xf numFmtId="0" fontId="65" fillId="0" borderId="0" xfId="0" applyFont="1"/>
    <xf numFmtId="0" fontId="16" fillId="0" borderId="0" xfId="0" applyFont="1"/>
    <xf numFmtId="0" fontId="6" fillId="0" borderId="0" xfId="0" applyFont="1"/>
    <xf numFmtId="0" fontId="55" fillId="0" borderId="0" xfId="0" applyFont="1"/>
    <xf numFmtId="0" fontId="27" fillId="0" borderId="0" xfId="0" applyFont="1"/>
    <xf numFmtId="0" fontId="66" fillId="0" borderId="0" xfId="0" applyFont="1"/>
    <xf numFmtId="0" fontId="67" fillId="0" borderId="0" xfId="0" applyFont="1"/>
    <xf numFmtId="0" fontId="64" fillId="0" borderId="0" xfId="1" applyFill="1"/>
    <xf numFmtId="0" fontId="71" fillId="0" borderId="0" xfId="0" applyFont="1"/>
    <xf numFmtId="0" fontId="72" fillId="0" borderId="0" xfId="0" applyFont="1"/>
    <xf numFmtId="0" fontId="2" fillId="0" borderId="0" xfId="0" applyFont="1"/>
    <xf numFmtId="0" fontId="73" fillId="0" borderId="0" xfId="0" applyFont="1"/>
    <xf numFmtId="0" fontId="71" fillId="0" borderId="0" xfId="0" applyFont="1" applyAlignment="1">
      <alignment vertical="top" wrapText="1"/>
    </xf>
    <xf numFmtId="0" fontId="73" fillId="0" borderId="0" xfId="0" applyFont="1" applyAlignment="1">
      <alignment vertical="top"/>
    </xf>
    <xf numFmtId="0" fontId="66" fillId="12" borderId="0" xfId="0" applyFont="1" applyFill="1"/>
    <xf numFmtId="0" fontId="27" fillId="12" borderId="0" xfId="0" applyFont="1" applyFill="1"/>
    <xf numFmtId="0" fontId="53" fillId="12" borderId="0" xfId="0" applyFont="1" applyFill="1" applyAlignment="1">
      <alignment horizontal="left"/>
    </xf>
    <xf numFmtId="0" fontId="56" fillId="12" borderId="0" xfId="0" applyFont="1" applyFill="1"/>
    <xf numFmtId="0" fontId="12" fillId="0" borderId="0" xfId="0" applyFont="1"/>
    <xf numFmtId="0" fontId="63" fillId="0" borderId="0" xfId="0" applyFont="1"/>
    <xf numFmtId="0" fontId="75" fillId="0" borderId="0" xfId="0" applyFont="1" applyAlignment="1">
      <alignment vertical="center" wrapText="1"/>
    </xf>
    <xf numFmtId="0" fontId="69" fillId="0" borderId="0" xfId="0" applyFont="1"/>
    <xf numFmtId="0" fontId="20" fillId="0" borderId="0" xfId="0" applyFont="1" applyAlignment="1">
      <alignment horizontal="left"/>
    </xf>
    <xf numFmtId="0" fontId="29" fillId="0" borderId="0" xfId="0" applyFont="1"/>
    <xf numFmtId="0" fontId="33" fillId="0" borderId="0" xfId="0" applyFont="1" applyAlignment="1">
      <alignment horizontal="right"/>
    </xf>
    <xf numFmtId="0" fontId="61" fillId="0" borderId="0" xfId="0" applyFont="1"/>
    <xf numFmtId="0" fontId="62" fillId="0" borderId="0" xfId="0" applyFont="1"/>
    <xf numFmtId="0" fontId="6" fillId="0" borderId="0" xfId="0" applyFont="1" applyAlignment="1">
      <alignment horizontal="center"/>
    </xf>
    <xf numFmtId="0" fontId="67" fillId="0" borderId="0" xfId="0" applyFont="1" applyAlignment="1">
      <alignment horizontal="left"/>
    </xf>
    <xf numFmtId="0" fontId="58" fillId="0" borderId="0" xfId="0" applyFont="1"/>
    <xf numFmtId="0" fontId="74" fillId="0" borderId="0" xfId="0" applyFont="1"/>
    <xf numFmtId="0" fontId="57" fillId="0" borderId="0" xfId="0" applyFont="1"/>
    <xf numFmtId="0" fontId="60" fillId="0" borderId="0" xfId="0" applyFont="1"/>
    <xf numFmtId="0" fontId="31" fillId="0" borderId="0" xfId="0" applyFont="1"/>
    <xf numFmtId="0" fontId="59" fillId="0" borderId="0" xfId="0" applyFont="1"/>
    <xf numFmtId="0" fontId="4" fillId="10" borderId="0" xfId="0" applyFont="1" applyFill="1" applyAlignment="1">
      <alignment horizontal="left" vertical="top"/>
    </xf>
    <xf numFmtId="0" fontId="15" fillId="11" borderId="0" xfId="0" applyFont="1" applyFill="1" applyAlignment="1"/>
    <xf numFmtId="0" fontId="0" fillId="0" borderId="0" xfId="0" applyAlignment="1"/>
    <xf numFmtId="0" fontId="23" fillId="0" borderId="0" xfId="0" applyFont="1" applyAlignment="1"/>
    <xf numFmtId="0" fontId="21" fillId="0" borderId="0" xfId="0" applyFont="1" applyAlignment="1"/>
    <xf numFmtId="0" fontId="67" fillId="0" borderId="0" xfId="0" applyFont="1" applyAlignment="1"/>
    <xf numFmtId="0" fontId="2" fillId="0" borderId="0" xfId="0" applyFont="1" applyAlignment="1"/>
    <xf numFmtId="0" fontId="4" fillId="0" borderId="0" xfId="0" applyFont="1" applyAlignment="1"/>
    <xf numFmtId="0" fontId="18" fillId="0" borderId="0" xfId="0" applyFont="1" applyAlignment="1"/>
    <xf numFmtId="0" fontId="6" fillId="0" borderId="0" xfId="0" applyFont="1" applyAlignment="1"/>
    <xf numFmtId="0" fontId="57" fillId="0" borderId="0" xfId="0" applyFont="1" applyAlignment="1"/>
    <xf numFmtId="0" fontId="30" fillId="0" borderId="0" xfId="0" applyFont="1" applyAlignment="1"/>
    <xf numFmtId="0" fontId="12" fillId="0" borderId="0" xfId="0" applyFont="1" applyAlignment="1"/>
    <xf numFmtId="0" fontId="4" fillId="0" borderId="0" xfId="0" applyFont="1" applyFill="1" applyAlignment="1">
      <alignment horizontal="left" vertical="top"/>
    </xf>
    <xf numFmtId="0" fontId="5" fillId="0" borderId="0" xfId="0" applyFont="1" applyFill="1" applyAlignment="1">
      <alignment horizontal="left" vertical="top"/>
    </xf>
    <xf numFmtId="164" fontId="4" fillId="0" borderId="0" xfId="0" applyNumberFormat="1" applyFont="1" applyFill="1" applyAlignment="1">
      <alignment horizontal="left" vertical="top"/>
    </xf>
    <xf numFmtId="0" fontId="6" fillId="0" borderId="0" xfId="0" applyFont="1" applyFill="1" applyAlignment="1">
      <alignment horizontal="left" vertical="top"/>
    </xf>
    <xf numFmtId="0" fontId="7" fillId="0" borderId="0" xfId="0" applyFont="1" applyFill="1" applyAlignment="1">
      <alignment horizontal="left" vertical="top"/>
    </xf>
    <xf numFmtId="0" fontId="8" fillId="0" borderId="0" xfId="0" applyFont="1" applyFill="1"/>
    <xf numFmtId="0" fontId="9" fillId="0" borderId="0" xfId="0" applyFont="1" applyFill="1"/>
    <xf numFmtId="0" fontId="10" fillId="0" borderId="0" xfId="0" applyFont="1" applyFill="1" applyAlignment="1">
      <alignment horizontal="left" vertical="top"/>
    </xf>
    <xf numFmtId="0" fontId="12" fillId="0" borderId="0" xfId="0" applyFont="1" applyFill="1" applyAlignment="1">
      <alignment horizontal="left" vertical="top"/>
    </xf>
    <xf numFmtId="0" fontId="0" fillId="0" borderId="0" xfId="0" applyFill="1"/>
    <xf numFmtId="0" fontId="4" fillId="3" borderId="0" xfId="0" applyFont="1" applyFill="1" applyAlignment="1">
      <alignment horizontal="center" vertical="center"/>
    </xf>
    <xf numFmtId="0" fontId="76" fillId="0" borderId="0" xfId="0" applyFont="1"/>
    <xf numFmtId="0" fontId="77" fillId="0" borderId="0" xfId="0" applyFont="1"/>
    <xf numFmtId="0" fontId="4" fillId="6" borderId="0" xfId="0" applyFont="1" applyFill="1" applyAlignment="1">
      <alignment vertical="center"/>
    </xf>
    <xf numFmtId="0" fontId="4" fillId="5" borderId="0" xfId="0" applyFont="1" applyFill="1" applyAlignment="1">
      <alignment horizontal="center" vertical="center"/>
    </xf>
    <xf numFmtId="0" fontId="64" fillId="0" borderId="0" xfId="1" applyFill="1" applyAlignment="1">
      <alignment horizontal="left" vertical="top"/>
    </xf>
    <xf numFmtId="0" fontId="4" fillId="7" borderId="0" xfId="0" applyFont="1" applyFill="1" applyAlignment="1">
      <alignment horizontal="center" vertical="center"/>
    </xf>
    <xf numFmtId="0" fontId="4" fillId="9" borderId="0" xfId="0" applyFont="1" applyFill="1" applyAlignment="1">
      <alignment vertical="center"/>
    </xf>
    <xf numFmtId="0" fontId="11" fillId="8" borderId="0" xfId="0" applyFont="1" applyFill="1" applyAlignment="1">
      <alignment horizontal="center" vertical="center"/>
    </xf>
    <xf numFmtId="0" fontId="78" fillId="0" borderId="1" xfId="0" applyFont="1" applyBorder="1" applyAlignment="1">
      <alignment vertical="center" readingOrder="1"/>
    </xf>
    <xf numFmtId="0" fontId="15" fillId="12" borderId="0" xfId="0" applyFont="1" applyFill="1"/>
    <xf numFmtId="0" fontId="67" fillId="12" borderId="0" xfId="0" applyFont="1" applyFill="1"/>
    <xf numFmtId="0" fontId="1" fillId="0" borderId="0" xfId="0" applyFont="1"/>
    <xf numFmtId="0" fontId="64" fillId="0" borderId="0" xfId="1" applyFont="1" applyFill="1"/>
    <xf numFmtId="0" fontId="1" fillId="0" borderId="0" xfId="0" applyFont="1" applyAlignment="1">
      <alignment vertical="top"/>
    </xf>
    <xf numFmtId="0" fontId="4" fillId="6" borderId="0" xfId="0" applyFont="1" applyFill="1" applyAlignment="1">
      <alignment vertical="center" wrapText="1"/>
    </xf>
    <xf numFmtId="0" fontId="4" fillId="0" borderId="0" xfId="0" applyFont="1" applyFill="1" applyAlignment="1">
      <alignment horizontal="right" vertical="top"/>
    </xf>
    <xf numFmtId="0" fontId="4" fillId="2" borderId="0" xfId="0" applyFont="1" applyFill="1" applyAlignment="1">
      <alignment horizontal="right" vertical="top"/>
    </xf>
    <xf numFmtId="0" fontId="64" fillId="0" borderId="0" xfId="1" applyFill="1" applyAlignment="1"/>
    <xf numFmtId="0" fontId="9" fillId="0" borderId="0" xfId="0" applyFont="1" applyFill="1" applyAlignment="1"/>
    <xf numFmtId="0" fontId="74" fillId="0" borderId="0" xfId="0" applyFont="1" applyAlignment="1"/>
    <xf numFmtId="0" fontId="0" fillId="0" borderId="0" xfId="0" applyFill="1" applyAlignment="1"/>
    <xf numFmtId="0" fontId="64" fillId="0" borderId="0" xfId="1" applyAlignment="1"/>
    <xf numFmtId="0" fontId="17" fillId="0" borderId="0" xfId="0" applyFont="1" applyAlignment="1"/>
  </cellXfs>
  <cellStyles count="4">
    <cellStyle name="Hyperlink" xfId="1" builtinId="8"/>
    <cellStyle name="Hyperlink 2" xfId="3" xr:uid="{F324D931-CDAD-4A7B-A76E-C14A1EEF2F58}"/>
    <cellStyle name="Normal" xfId="0" builtinId="0"/>
    <cellStyle name="Normal 2" xfId="2" xr:uid="{C94D11C4-9FF7-40CE-AAA3-FE667D6B24E8}"/>
  </cellStyles>
  <dxfs count="77">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bgColor theme="5" tint="0.7999816888943144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79998168889431442"/>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ill>
        <patternFill patternType="solid">
          <fgColor rgb="FFFCE8B2"/>
          <bgColor rgb="FFFCE8B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CE8B2"/>
          <bgColor rgb="FFFCE8B2"/>
        </patternFill>
      </fill>
    </dxf>
    <dxf>
      <font>
        <color rgb="FF9C0006"/>
      </font>
      <fill>
        <patternFill>
          <bgColor rgb="FFFFC7CE"/>
        </patternFill>
      </fill>
    </dxf>
    <dxf>
      <fill>
        <patternFill patternType="solid">
          <fgColor rgb="FFB7E1CD"/>
          <bgColor rgb="FFB7E1CD"/>
        </patternFill>
      </fill>
    </dxf>
    <dxf>
      <fill>
        <patternFill patternType="solid">
          <fgColor rgb="FFFCE8B2"/>
          <bgColor rgb="FFFCE8B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CE8B2"/>
          <bgColor rgb="FFFCE8B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49/iet-cvi.2019.0897" TargetMode="External"/><Relationship Id="rId2" Type="http://schemas.openxmlformats.org/officeDocument/2006/relationships/hyperlink" Target="https://doi.org/10.1016/j.sysarc.2025.103586" TargetMode="External"/><Relationship Id="rId1" Type="http://schemas.openxmlformats.org/officeDocument/2006/relationships/hyperlink" Target="https://dl.acm.org/doi/10.1145/374368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l.acm.org/doi/10.1145/3715275.3732185" TargetMode="External"/><Relationship Id="rId7" Type="http://schemas.openxmlformats.org/officeDocument/2006/relationships/hyperlink" Target="https://doi.org/10.1049/iet-cvi.2019.0897" TargetMode="External"/><Relationship Id="rId2" Type="http://schemas.openxmlformats.org/officeDocument/2006/relationships/hyperlink" Target="https://dl.acm.org/doi/10.1145/3695254" TargetMode="External"/><Relationship Id="rId1" Type="http://schemas.openxmlformats.org/officeDocument/2006/relationships/hyperlink" Target="https://dl.acm.org/doi/10.1145/3743680" TargetMode="External"/><Relationship Id="rId6" Type="http://schemas.openxmlformats.org/officeDocument/2006/relationships/hyperlink" Target="https://doi.org/10.1016/j.cviu.2024.104142" TargetMode="External"/><Relationship Id="rId5" Type="http://schemas.openxmlformats.org/officeDocument/2006/relationships/hyperlink" Target="https://doi.org/10.1016/j.image.2020.115996" TargetMode="External"/><Relationship Id="rId4" Type="http://schemas.openxmlformats.org/officeDocument/2006/relationships/hyperlink" Target="https://doi.org/10.1016/j.sysarc.2025.1035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2280-021A-4D25-9F36-3C8AEECA225D}">
  <sheetPr>
    <outlinePr summaryBelow="0" summaryRight="0"/>
  </sheetPr>
  <dimension ref="A1:AD947"/>
  <sheetViews>
    <sheetView tabSelected="1" topLeftCell="M1" workbookViewId="0">
      <pane ySplit="1" topLeftCell="A23" activePane="bottomLeft" state="frozen"/>
      <selection pane="bottomLeft" activeCell="G8" sqref="G8"/>
    </sheetView>
  </sheetViews>
  <sheetFormatPr defaultColWidth="12.6640625" defaultRowHeight="15.75" customHeight="1"/>
  <cols>
    <col min="1" max="1" width="12.6640625" customWidth="1"/>
    <col min="2" max="2" width="81.109375" customWidth="1"/>
    <col min="3" max="3" width="6.88671875" customWidth="1"/>
    <col min="4" max="4" width="10.88671875" customWidth="1"/>
    <col min="5" max="6" width="14.33203125" customWidth="1"/>
    <col min="7" max="7" width="25.77734375" customWidth="1"/>
    <col min="8" max="8" width="24.88671875" customWidth="1"/>
    <col min="9" max="9" width="29.5546875" customWidth="1"/>
    <col min="10" max="10" width="7.21875" customWidth="1"/>
    <col min="11" max="11" width="20.21875" customWidth="1"/>
    <col min="12" max="12" width="25" customWidth="1"/>
    <col min="13" max="13" width="25.6640625" customWidth="1"/>
    <col min="14" max="14" width="25" customWidth="1"/>
    <col min="15" max="15" width="25.6640625" customWidth="1"/>
    <col min="16" max="16" width="25.44140625" customWidth="1"/>
  </cols>
  <sheetData>
    <row r="1" spans="1:30" s="113" customFormat="1" ht="15.6">
      <c r="A1" s="1" t="s">
        <v>0</v>
      </c>
      <c r="B1" s="1" t="s">
        <v>1075</v>
      </c>
      <c r="C1" s="1" t="s">
        <v>2</v>
      </c>
      <c r="D1" s="1" t="s">
        <v>997</v>
      </c>
      <c r="E1" s="1" t="s">
        <v>3</v>
      </c>
      <c r="F1" s="112" t="s">
        <v>1072</v>
      </c>
      <c r="G1" s="1" t="s">
        <v>4</v>
      </c>
      <c r="H1" s="1" t="s">
        <v>5</v>
      </c>
      <c r="I1" s="1" t="s">
        <v>6</v>
      </c>
      <c r="J1" s="1" t="s">
        <v>7</v>
      </c>
      <c r="K1" s="1" t="s">
        <v>8</v>
      </c>
      <c r="L1" s="1" t="s">
        <v>9</v>
      </c>
      <c r="M1" s="1" t="s">
        <v>10</v>
      </c>
      <c r="N1" s="1" t="s">
        <v>11</v>
      </c>
      <c r="O1" s="1" t="s">
        <v>12</v>
      </c>
      <c r="P1" s="1" t="s">
        <v>13</v>
      </c>
      <c r="Q1" s="1" t="s">
        <v>14</v>
      </c>
      <c r="R1" s="2"/>
      <c r="S1" s="2"/>
      <c r="T1" s="2"/>
      <c r="U1" s="2"/>
      <c r="V1" s="2"/>
      <c r="W1" s="2"/>
      <c r="X1" s="2"/>
      <c r="Y1" s="2"/>
      <c r="Z1" s="2"/>
      <c r="AA1" s="2"/>
      <c r="AB1" s="2"/>
      <c r="AC1" s="2"/>
      <c r="AD1" s="2"/>
    </row>
    <row r="2" spans="1:30" ht="15.75" customHeight="1">
      <c r="A2" s="111" t="s">
        <v>15</v>
      </c>
      <c r="B2" s="90" t="s">
        <v>50</v>
      </c>
      <c r="C2" s="90" t="s">
        <v>987</v>
      </c>
      <c r="D2" s="90" t="s">
        <v>16</v>
      </c>
      <c r="E2" s="129" t="str">
        <f>HYPERLINK("https://doi.org/" &amp; F2, "https://doi.org/" &amp; F2)</f>
        <v>https://doi.org/10.1109/TIFS.2024.3388976</v>
      </c>
      <c r="F2" s="90" t="s">
        <v>65</v>
      </c>
      <c r="G2" s="90" t="s">
        <v>51</v>
      </c>
      <c r="H2" s="90" t="s">
        <v>59</v>
      </c>
      <c r="I2" s="90" t="s">
        <v>72</v>
      </c>
      <c r="J2" s="90">
        <v>2024</v>
      </c>
      <c r="K2" s="3" t="s">
        <v>1093</v>
      </c>
      <c r="L2" s="3" t="s">
        <v>1094</v>
      </c>
      <c r="M2" s="3" t="s">
        <v>1095</v>
      </c>
      <c r="N2" s="3" t="s">
        <v>1096</v>
      </c>
      <c r="O2" s="3" t="s">
        <v>1097</v>
      </c>
      <c r="P2" s="3" t="s">
        <v>1098</v>
      </c>
      <c r="Q2" s="3" t="s">
        <v>1099</v>
      </c>
      <c r="R2" s="101"/>
      <c r="S2" s="101"/>
      <c r="T2" s="101"/>
      <c r="U2" s="101"/>
      <c r="V2" s="101"/>
      <c r="W2" s="101"/>
      <c r="X2" s="101"/>
      <c r="Y2" s="101"/>
      <c r="Z2" s="101"/>
      <c r="AA2" s="101"/>
      <c r="AB2" s="101"/>
      <c r="AC2" s="3"/>
      <c r="AD2" s="3"/>
    </row>
    <row r="3" spans="1:30" ht="14.4">
      <c r="A3" s="111"/>
      <c r="B3" s="90" t="s">
        <v>54</v>
      </c>
      <c r="C3" s="90" t="s">
        <v>988</v>
      </c>
      <c r="D3" s="90" t="s">
        <v>16</v>
      </c>
      <c r="E3" s="129" t="str">
        <f>HYPERLINK("https://doi.org/" &amp; F3, "https://doi.org/" &amp; F3)</f>
        <v>https://doi.org/10.1109/TII.2024.3396268</v>
      </c>
      <c r="F3" s="90" t="s">
        <v>67</v>
      </c>
      <c r="G3" s="90" t="s">
        <v>55</v>
      </c>
      <c r="H3" s="90" t="s">
        <v>61</v>
      </c>
      <c r="I3" s="101"/>
      <c r="J3" s="90">
        <v>2024</v>
      </c>
      <c r="K3" s="3" t="s">
        <v>1100</v>
      </c>
      <c r="L3" s="3" t="s">
        <v>1101</v>
      </c>
      <c r="M3" s="3" t="s">
        <v>1102</v>
      </c>
      <c r="N3" s="3" t="s">
        <v>1103</v>
      </c>
      <c r="O3" s="3" t="s">
        <v>1104</v>
      </c>
      <c r="P3" s="3" t="s">
        <v>1105</v>
      </c>
      <c r="Q3" s="3" t="s">
        <v>1106</v>
      </c>
      <c r="R3" s="101"/>
      <c r="S3" s="101"/>
      <c r="T3" s="101"/>
      <c r="U3" s="101"/>
      <c r="V3" s="101"/>
      <c r="W3" s="101"/>
      <c r="X3" s="101"/>
      <c r="Y3" s="101"/>
      <c r="Z3" s="101"/>
      <c r="AA3" s="101"/>
      <c r="AB3" s="101"/>
      <c r="AC3" s="3"/>
      <c r="AD3" s="3"/>
    </row>
    <row r="4" spans="1:30" ht="14.4">
      <c r="A4" s="111"/>
      <c r="B4" s="90" t="s">
        <v>80</v>
      </c>
      <c r="C4" s="90" t="s">
        <v>989</v>
      </c>
      <c r="D4" s="90" t="s">
        <v>16</v>
      </c>
      <c r="E4" s="129" t="str">
        <f>HYPERLINK("https://doi.org/" &amp; F4, "https://doi.org/" &amp; F4)</f>
        <v>https://doi.org/10.1109/ACCESS.2024.3519441</v>
      </c>
      <c r="F4" s="90" t="s">
        <v>89</v>
      </c>
      <c r="G4" s="90" t="s">
        <v>81</v>
      </c>
      <c r="H4" s="90" t="s">
        <v>85</v>
      </c>
      <c r="I4" s="101"/>
      <c r="J4" s="90">
        <v>2025</v>
      </c>
      <c r="K4" s="3" t="s">
        <v>1107</v>
      </c>
      <c r="L4" s="3" t="s">
        <v>1108</v>
      </c>
      <c r="M4" s="3" t="s">
        <v>1109</v>
      </c>
      <c r="N4" s="3" t="s">
        <v>1110</v>
      </c>
      <c r="O4" s="3" t="s">
        <v>1111</v>
      </c>
      <c r="P4" s="3" t="s">
        <v>1112</v>
      </c>
      <c r="Q4" s="3" t="s">
        <v>1113</v>
      </c>
      <c r="R4" s="101"/>
      <c r="S4" s="101"/>
      <c r="T4" s="101"/>
      <c r="U4" s="101"/>
      <c r="V4" s="101"/>
      <c r="W4" s="101"/>
      <c r="X4" s="101"/>
      <c r="Y4" s="101"/>
      <c r="Z4" s="101"/>
      <c r="AA4" s="101"/>
      <c r="AB4" s="101"/>
      <c r="AC4" s="3"/>
      <c r="AD4" s="3"/>
    </row>
    <row r="5" spans="1:30" ht="14.4">
      <c r="A5" s="111"/>
      <c r="B5" s="90" t="s">
        <v>232</v>
      </c>
      <c r="C5" s="90" t="s">
        <v>991</v>
      </c>
      <c r="D5" s="90" t="s">
        <v>16</v>
      </c>
      <c r="E5" s="129" t="str">
        <f>HYPERLINK("https://doi.org/" &amp; F5, "https://doi.org/" &amp; F5)</f>
        <v>https://doi.org/10.1109/IV64158.2025.11097691</v>
      </c>
      <c r="F5" s="90" t="s">
        <v>235</v>
      </c>
      <c r="G5" s="90" t="s">
        <v>233</v>
      </c>
      <c r="H5" s="90" t="s">
        <v>234</v>
      </c>
      <c r="I5" s="101"/>
      <c r="J5" s="90">
        <v>2025</v>
      </c>
      <c r="K5" s="3" t="s">
        <v>1114</v>
      </c>
      <c r="L5" s="3" t="s">
        <v>1115</v>
      </c>
      <c r="M5" s="3" t="s">
        <v>1116</v>
      </c>
      <c r="N5" s="3" t="s">
        <v>1117</v>
      </c>
      <c r="O5" s="3" t="s">
        <v>1118</v>
      </c>
      <c r="P5" s="3" t="s">
        <v>1119</v>
      </c>
      <c r="Q5" s="3" t="s">
        <v>1120</v>
      </c>
      <c r="R5" s="101"/>
      <c r="S5" s="101"/>
      <c r="T5" s="101"/>
      <c r="U5" s="101"/>
      <c r="V5" s="101"/>
      <c r="W5" s="101"/>
      <c r="X5" s="101"/>
      <c r="Y5" s="101"/>
      <c r="Z5" s="101"/>
      <c r="AA5" s="101"/>
      <c r="AB5" s="101"/>
      <c r="AC5" s="3"/>
      <c r="AD5" s="3"/>
    </row>
    <row r="6" spans="1:30" ht="14.4">
      <c r="A6" s="111"/>
      <c r="B6" s="93" t="s">
        <v>105</v>
      </c>
      <c r="C6" s="90" t="s">
        <v>17</v>
      </c>
      <c r="D6" s="90" t="s">
        <v>16</v>
      </c>
      <c r="E6" s="129" t="str">
        <f>HYPERLINK("https://doi.org/" &amp; F6, "https://doi.org/" &amp; F6)</f>
        <v>https://doi.org/10.1109/JIOT.2021.3089080</v>
      </c>
      <c r="F6" s="90" t="s">
        <v>124</v>
      </c>
      <c r="G6" s="90" t="s">
        <v>106</v>
      </c>
      <c r="H6" s="90" t="s">
        <v>116</v>
      </c>
      <c r="I6" s="101"/>
      <c r="J6" s="90">
        <v>2022</v>
      </c>
      <c r="K6" s="3" t="s">
        <v>1121</v>
      </c>
      <c r="L6" s="3" t="s">
        <v>1122</v>
      </c>
      <c r="M6" s="3" t="s">
        <v>1123</v>
      </c>
      <c r="N6" s="3" t="s">
        <v>1124</v>
      </c>
      <c r="O6" s="3" t="s">
        <v>1125</v>
      </c>
      <c r="P6" s="3" t="s">
        <v>1126</v>
      </c>
      <c r="Q6" s="3" t="s">
        <v>1127</v>
      </c>
      <c r="R6" s="101"/>
      <c r="S6" s="101"/>
      <c r="T6" s="101"/>
      <c r="U6" s="101"/>
      <c r="V6" s="101"/>
      <c r="W6" s="101"/>
      <c r="X6" s="101"/>
      <c r="Y6" s="101"/>
      <c r="Z6" s="101"/>
      <c r="AA6" s="101"/>
      <c r="AB6" s="101"/>
      <c r="AC6" s="3"/>
      <c r="AD6" s="3"/>
    </row>
    <row r="7" spans="1:30" ht="15">
      <c r="A7" s="90"/>
      <c r="B7" s="101"/>
      <c r="C7" s="101"/>
      <c r="D7" s="105"/>
      <c r="E7" s="129"/>
      <c r="F7" s="90"/>
      <c r="G7" s="101"/>
      <c r="H7" s="101"/>
      <c r="I7" s="104"/>
      <c r="J7" s="101"/>
      <c r="K7" s="130"/>
      <c r="L7" s="101"/>
      <c r="M7" s="101"/>
      <c r="N7" s="101"/>
      <c r="O7" s="101"/>
      <c r="P7" s="101"/>
      <c r="Q7" s="101"/>
      <c r="R7" s="101"/>
      <c r="S7" s="101"/>
      <c r="T7" s="101"/>
      <c r="U7" s="101"/>
      <c r="V7" s="101"/>
      <c r="W7" s="101"/>
      <c r="X7" s="101"/>
      <c r="Y7" s="101"/>
      <c r="Z7" s="101"/>
      <c r="AA7" s="101"/>
      <c r="AB7" s="101"/>
      <c r="AC7" s="3"/>
      <c r="AD7" s="3"/>
    </row>
    <row r="8" spans="1:30" ht="14.4">
      <c r="A8" s="115" t="s">
        <v>20</v>
      </c>
      <c r="B8" s="90" t="s">
        <v>471</v>
      </c>
      <c r="C8" s="90" t="s">
        <v>945</v>
      </c>
      <c r="D8" s="90" t="s">
        <v>19</v>
      </c>
      <c r="E8" s="129" t="str">
        <f t="shared" ref="E8:E9" si="0">HYPERLINK("https://doi.org/" &amp; F8, "https://doi.org/" &amp; F8)</f>
        <v>https://doi.org/10.1145/3503161.3548766</v>
      </c>
      <c r="F8" s="93" t="s">
        <v>472</v>
      </c>
      <c r="G8" s="90" t="s">
        <v>493</v>
      </c>
      <c r="H8" s="90" t="s">
        <v>494</v>
      </c>
      <c r="I8" s="99" t="s">
        <v>495</v>
      </c>
      <c r="J8" s="93">
        <v>2022</v>
      </c>
      <c r="K8" s="3" t="s">
        <v>1128</v>
      </c>
      <c r="L8" s="3" t="s">
        <v>1129</v>
      </c>
      <c r="M8" s="3" t="s">
        <v>1130</v>
      </c>
      <c r="N8" s="3" t="s">
        <v>1131</v>
      </c>
      <c r="O8" s="3" t="s">
        <v>1132</v>
      </c>
      <c r="P8" s="3" t="s">
        <v>1133</v>
      </c>
      <c r="Q8" s="3" t="s">
        <v>1134</v>
      </c>
      <c r="R8" s="101"/>
      <c r="S8" s="101"/>
      <c r="T8" s="101"/>
      <c r="U8" s="101"/>
      <c r="V8" s="101"/>
      <c r="W8" s="101"/>
      <c r="X8" s="101"/>
      <c r="Y8" s="101"/>
      <c r="Z8" s="101"/>
      <c r="AA8" s="101"/>
      <c r="AB8" s="101"/>
      <c r="AC8" s="3"/>
      <c r="AD8" s="3"/>
    </row>
    <row r="9" spans="1:30" ht="14.4">
      <c r="A9" s="115"/>
      <c r="B9" s="90" t="s">
        <v>477</v>
      </c>
      <c r="C9" s="90" t="s">
        <v>948</v>
      </c>
      <c r="D9" s="90" t="s">
        <v>16</v>
      </c>
      <c r="E9" s="129" t="str">
        <f t="shared" si="0"/>
        <v>https://doi.org/10.1145/3715014.3722069</v>
      </c>
      <c r="F9" s="131" t="s">
        <v>478</v>
      </c>
      <c r="G9" s="90" t="s">
        <v>502</v>
      </c>
      <c r="H9" s="90" t="s">
        <v>503</v>
      </c>
      <c r="I9" s="99" t="s">
        <v>504</v>
      </c>
      <c r="J9" s="93">
        <v>2025</v>
      </c>
      <c r="K9" s="3" t="s">
        <v>1135</v>
      </c>
      <c r="L9" s="3" t="s">
        <v>1136</v>
      </c>
      <c r="M9" s="3" t="s">
        <v>1137</v>
      </c>
      <c r="N9" s="3" t="s">
        <v>1138</v>
      </c>
      <c r="O9" s="3" t="s">
        <v>1139</v>
      </c>
      <c r="P9" s="3" t="s">
        <v>1140</v>
      </c>
      <c r="Q9" s="3" t="s">
        <v>1141</v>
      </c>
      <c r="R9" s="101"/>
      <c r="S9" s="101"/>
      <c r="T9" s="101"/>
      <c r="U9" s="101"/>
      <c r="V9" s="101"/>
      <c r="W9" s="101"/>
      <c r="X9" s="101"/>
      <c r="Y9" s="101"/>
      <c r="Z9" s="101"/>
      <c r="AA9" s="101"/>
      <c r="AB9" s="101"/>
      <c r="AC9" s="3"/>
      <c r="AD9" s="3"/>
    </row>
    <row r="10" spans="1:30" ht="14.4">
      <c r="A10" s="115"/>
      <c r="B10" s="90" t="s">
        <v>695</v>
      </c>
      <c r="C10" s="132" t="s">
        <v>953</v>
      </c>
      <c r="D10" s="132" t="s">
        <v>16</v>
      </c>
      <c r="E10" s="129" t="s">
        <v>696</v>
      </c>
      <c r="F10" s="96"/>
      <c r="G10" s="90" t="s">
        <v>748</v>
      </c>
      <c r="H10" s="90" t="s">
        <v>743</v>
      </c>
      <c r="I10" s="99" t="s">
        <v>702</v>
      </c>
      <c r="J10" s="99">
        <v>2025</v>
      </c>
      <c r="K10" s="3" t="s">
        <v>1142</v>
      </c>
      <c r="L10" s="3" t="s">
        <v>1143</v>
      </c>
      <c r="M10" s="3" t="s">
        <v>1144</v>
      </c>
      <c r="N10" s="3" t="s">
        <v>1145</v>
      </c>
      <c r="O10" s="3" t="s">
        <v>1146</v>
      </c>
      <c r="P10" s="3" t="s">
        <v>1147</v>
      </c>
      <c r="Q10" s="3" t="s">
        <v>1148</v>
      </c>
      <c r="R10" s="101"/>
      <c r="S10" s="101"/>
      <c r="T10" s="101"/>
      <c r="U10" s="101"/>
      <c r="V10" s="101"/>
      <c r="W10" s="101"/>
      <c r="X10" s="101"/>
      <c r="Y10" s="101"/>
      <c r="Z10" s="101"/>
      <c r="AA10" s="101"/>
      <c r="AB10" s="101"/>
      <c r="AC10" s="4"/>
      <c r="AD10" s="4"/>
    </row>
    <row r="11" spans="1:30" ht="14.4">
      <c r="A11" s="90"/>
      <c r="B11" s="101"/>
      <c r="C11" s="101"/>
      <c r="D11" s="105"/>
      <c r="E11" s="102"/>
      <c r="F11" s="90"/>
      <c r="G11" s="101"/>
      <c r="H11" s="101"/>
      <c r="I11" s="104"/>
      <c r="J11" s="101"/>
      <c r="K11" s="101"/>
      <c r="L11" s="101"/>
      <c r="M11" s="101"/>
      <c r="N11" s="101"/>
      <c r="O11" s="101"/>
      <c r="P11" s="101"/>
      <c r="Q11" s="101"/>
      <c r="R11" s="101"/>
      <c r="S11" s="101"/>
      <c r="T11" s="101"/>
      <c r="U11" s="101"/>
      <c r="V11" s="101"/>
      <c r="W11" s="101"/>
      <c r="X11" s="101"/>
      <c r="Y11" s="101"/>
      <c r="Z11" s="101"/>
      <c r="AA11" s="101"/>
      <c r="AB11" s="101"/>
      <c r="AC11" s="3"/>
      <c r="AD11" s="3"/>
    </row>
    <row r="12" spans="1:30" ht="14.4" customHeight="1">
      <c r="A12" s="126" t="s">
        <v>1076</v>
      </c>
      <c r="B12" s="90" t="s">
        <v>300</v>
      </c>
      <c r="C12" s="90" t="s">
        <v>992</v>
      </c>
      <c r="D12" s="90" t="s">
        <v>19</v>
      </c>
      <c r="E12" s="116" t="str">
        <f>HYPERLINK("https://doi.org/" &amp; F12, "https://doi.org/" &amp; F12)</f>
        <v>https://doi.org/10.1007/s10489-024-05489-9</v>
      </c>
      <c r="F12" s="101" t="s">
        <v>307</v>
      </c>
      <c r="G12" s="90" t="s">
        <v>314</v>
      </c>
      <c r="H12" s="90" t="s">
        <v>321</v>
      </c>
      <c r="I12" s="90" t="s">
        <v>322</v>
      </c>
      <c r="J12" s="127">
        <v>2024</v>
      </c>
      <c r="K12" s="3" t="s">
        <v>1149</v>
      </c>
      <c r="L12" s="3" t="s">
        <v>1150</v>
      </c>
      <c r="M12" s="3" t="s">
        <v>1151</v>
      </c>
      <c r="N12" s="3" t="s">
        <v>1152</v>
      </c>
      <c r="O12" s="3" t="s">
        <v>1153</v>
      </c>
      <c r="P12" s="3" t="s">
        <v>1154</v>
      </c>
      <c r="Q12" s="3" t="s">
        <v>1155</v>
      </c>
      <c r="R12" s="101"/>
      <c r="S12" s="101"/>
      <c r="T12" s="101"/>
      <c r="U12" s="101"/>
      <c r="V12" s="101"/>
      <c r="W12" s="101"/>
      <c r="X12" s="101"/>
      <c r="Y12" s="101"/>
      <c r="Z12" s="101"/>
      <c r="AA12" s="101"/>
      <c r="AB12" s="101"/>
      <c r="AC12" s="3"/>
      <c r="AD12" s="3"/>
    </row>
    <row r="13" spans="1:30" ht="14.4">
      <c r="A13" s="126"/>
      <c r="B13" s="90" t="s">
        <v>306</v>
      </c>
      <c r="C13" s="90" t="s">
        <v>996</v>
      </c>
      <c r="D13" s="90" t="s">
        <v>19</v>
      </c>
      <c r="E13" s="116" t="str">
        <f t="shared" ref="E13:E17" si="1">HYPERLINK("https://doi.org/" &amp; F13, "https://doi.org/" &amp; F13)</f>
        <v>https://doi.org/10.1007/978-3-031-65318-6_24</v>
      </c>
      <c r="F13" s="3" t="s">
        <v>313</v>
      </c>
      <c r="G13" s="90" t="s">
        <v>320</v>
      </c>
      <c r="H13" s="8" t="s">
        <v>329</v>
      </c>
      <c r="I13" s="90" t="s">
        <v>894</v>
      </c>
      <c r="J13" s="128">
        <v>2024</v>
      </c>
      <c r="K13" s="3" t="s">
        <v>1156</v>
      </c>
      <c r="L13" s="3" t="s">
        <v>1157</v>
      </c>
      <c r="M13" s="3" t="s">
        <v>1158</v>
      </c>
      <c r="N13" s="3" t="s">
        <v>1159</v>
      </c>
      <c r="O13" s="3" t="s">
        <v>1160</v>
      </c>
      <c r="P13" s="3" t="s">
        <v>1161</v>
      </c>
      <c r="Q13" s="3" t="s">
        <v>1162</v>
      </c>
      <c r="R13" s="101"/>
      <c r="S13" s="101"/>
      <c r="T13" s="101"/>
      <c r="U13" s="101"/>
      <c r="V13" s="101"/>
      <c r="W13" s="101"/>
      <c r="X13" s="101"/>
      <c r="Y13" s="101"/>
      <c r="Z13" s="101"/>
      <c r="AA13" s="101"/>
      <c r="AB13" s="101"/>
      <c r="AC13" s="3"/>
      <c r="AD13" s="3"/>
    </row>
    <row r="14" spans="1:30" ht="14.4">
      <c r="A14" s="126"/>
      <c r="B14" s="90" t="s">
        <v>409</v>
      </c>
      <c r="C14" s="90" t="s">
        <v>994</v>
      </c>
      <c r="D14" s="90" t="s">
        <v>16</v>
      </c>
      <c r="E14" s="116" t="str">
        <f t="shared" si="1"/>
        <v>https://doi.org/10.1007/s43681-024-00644-x</v>
      </c>
      <c r="F14" s="3" t="s">
        <v>418</v>
      </c>
      <c r="G14" s="90" t="s">
        <v>427</v>
      </c>
      <c r="H14" s="3" t="s">
        <v>452</v>
      </c>
      <c r="I14" s="90" t="s">
        <v>453</v>
      </c>
      <c r="J14" s="128">
        <v>2025</v>
      </c>
      <c r="K14" s="3" t="s">
        <v>1163</v>
      </c>
      <c r="L14" s="3" t="s">
        <v>1164</v>
      </c>
      <c r="M14" s="3" t="s">
        <v>1165</v>
      </c>
      <c r="N14" s="3" t="s">
        <v>1166</v>
      </c>
      <c r="O14" s="3" t="s">
        <v>1167</v>
      </c>
      <c r="P14" s="3" t="s">
        <v>1168</v>
      </c>
      <c r="Q14" s="3" t="s">
        <v>1169</v>
      </c>
      <c r="R14" s="101"/>
      <c r="S14" s="101"/>
      <c r="T14" s="101"/>
      <c r="U14" s="101"/>
      <c r="V14" s="101"/>
      <c r="W14" s="101"/>
      <c r="X14" s="101"/>
      <c r="Y14" s="101"/>
      <c r="Z14" s="101"/>
      <c r="AA14" s="101"/>
      <c r="AB14" s="101"/>
      <c r="AC14" s="3"/>
      <c r="AD14" s="3"/>
    </row>
    <row r="15" spans="1:30" ht="14.4">
      <c r="B15" s="109"/>
      <c r="C15" s="109"/>
      <c r="D15" s="105"/>
      <c r="E15" s="116"/>
      <c r="F15" s="90"/>
      <c r="G15" s="101"/>
      <c r="H15" s="109"/>
      <c r="I15" s="101"/>
      <c r="J15" s="101"/>
      <c r="K15" s="101"/>
      <c r="L15" s="101"/>
      <c r="M15" s="101"/>
      <c r="N15" s="101"/>
      <c r="O15" s="101"/>
      <c r="P15" s="101"/>
      <c r="Q15" s="101"/>
      <c r="R15" s="101"/>
      <c r="S15" s="101"/>
      <c r="T15" s="101"/>
      <c r="U15" s="101"/>
      <c r="V15" s="101"/>
      <c r="W15" s="101"/>
      <c r="X15" s="101"/>
      <c r="Y15" s="101"/>
      <c r="Z15" s="101"/>
      <c r="AA15" s="101"/>
      <c r="AB15" s="101"/>
      <c r="AC15" s="3"/>
      <c r="AD15" s="3"/>
    </row>
    <row r="16" spans="1:30" ht="14.4">
      <c r="A16" s="117" t="s">
        <v>23</v>
      </c>
      <c r="B16" s="90" t="s">
        <v>524</v>
      </c>
      <c r="C16" s="90" t="s">
        <v>26</v>
      </c>
      <c r="D16" s="90" t="s">
        <v>19</v>
      </c>
      <c r="E16" s="116" t="str">
        <f t="shared" si="1"/>
        <v>https://doi.org/10.1016/j.aap.2025.107986</v>
      </c>
      <c r="F16" s="95" t="s">
        <v>525</v>
      </c>
      <c r="G16" s="90" t="s">
        <v>523</v>
      </c>
      <c r="H16" s="90" t="s">
        <v>542</v>
      </c>
      <c r="I16" s="95" t="s">
        <v>526</v>
      </c>
      <c r="J16" s="95">
        <v>2025</v>
      </c>
      <c r="K16" s="3" t="s">
        <v>1170</v>
      </c>
      <c r="L16" s="3" t="s">
        <v>1171</v>
      </c>
      <c r="M16" s="3" t="s">
        <v>1172</v>
      </c>
      <c r="N16" s="3" t="s">
        <v>1173</v>
      </c>
      <c r="O16" s="3" t="s">
        <v>1174</v>
      </c>
      <c r="P16" s="3" t="s">
        <v>1175</v>
      </c>
      <c r="Q16" s="3" t="s">
        <v>1176</v>
      </c>
      <c r="R16" s="101"/>
      <c r="S16" s="101"/>
      <c r="T16" s="101"/>
      <c r="U16" s="101"/>
      <c r="V16" s="101"/>
      <c r="W16" s="101"/>
      <c r="X16" s="101"/>
      <c r="Y16" s="101"/>
      <c r="Z16" s="101"/>
      <c r="AA16" s="101"/>
      <c r="AB16" s="101"/>
      <c r="AC16" s="3"/>
      <c r="AD16" s="3"/>
    </row>
    <row r="17" spans="1:30" ht="14.4">
      <c r="A17" s="117"/>
      <c r="B17" s="90" t="s">
        <v>528</v>
      </c>
      <c r="C17" s="90" t="s">
        <v>920</v>
      </c>
      <c r="D17" s="90" t="s">
        <v>16</v>
      </c>
      <c r="E17" s="116" t="str">
        <f t="shared" si="1"/>
        <v>https://doi.org/10.1016/j.pmcj.2024.101914</v>
      </c>
      <c r="F17" s="95" t="s">
        <v>529</v>
      </c>
      <c r="G17" s="90" t="s">
        <v>527</v>
      </c>
      <c r="H17" s="90" t="s">
        <v>543</v>
      </c>
      <c r="I17" s="95" t="s">
        <v>530</v>
      </c>
      <c r="J17" s="95">
        <v>2024</v>
      </c>
      <c r="K17" s="3" t="s">
        <v>1177</v>
      </c>
      <c r="L17" s="3" t="s">
        <v>1178</v>
      </c>
      <c r="M17" s="3" t="s">
        <v>1179</v>
      </c>
      <c r="N17" s="3" t="s">
        <v>1180</v>
      </c>
      <c r="O17" s="3" t="s">
        <v>1181</v>
      </c>
      <c r="P17" s="3" t="s">
        <v>1182</v>
      </c>
      <c r="Q17" s="3" t="s">
        <v>1183</v>
      </c>
      <c r="R17" s="101"/>
      <c r="S17" s="101"/>
      <c r="T17" s="101"/>
      <c r="U17" s="101"/>
      <c r="V17" s="101"/>
      <c r="W17" s="101"/>
      <c r="X17" s="101"/>
      <c r="Y17" s="101"/>
      <c r="Z17" s="101"/>
      <c r="AA17" s="101"/>
      <c r="AB17" s="101"/>
      <c r="AC17" s="3"/>
      <c r="AD17" s="3"/>
    </row>
    <row r="18" spans="1:30" ht="14.4">
      <c r="A18" s="117"/>
      <c r="B18" s="90" t="s">
        <v>556</v>
      </c>
      <c r="C18" s="90" t="s">
        <v>923</v>
      </c>
      <c r="D18" s="90" t="s">
        <v>16</v>
      </c>
      <c r="E18" s="133" t="s">
        <v>558</v>
      </c>
      <c r="F18" s="95" t="s">
        <v>558</v>
      </c>
      <c r="G18" s="90" t="s">
        <v>557</v>
      </c>
      <c r="H18" s="90" t="s">
        <v>559</v>
      </c>
      <c r="I18" s="95" t="s">
        <v>560</v>
      </c>
      <c r="J18" s="95">
        <v>2025</v>
      </c>
      <c r="K18" s="3" t="s">
        <v>1184</v>
      </c>
      <c r="L18" s="3" t="s">
        <v>1185</v>
      </c>
      <c r="M18" s="3" t="s">
        <v>1186</v>
      </c>
      <c r="N18" s="3" t="s">
        <v>1187</v>
      </c>
      <c r="O18" s="3" t="s">
        <v>1188</v>
      </c>
      <c r="P18" s="3" t="s">
        <v>1189</v>
      </c>
      <c r="Q18" s="3" t="s">
        <v>1190</v>
      </c>
      <c r="R18" s="101"/>
      <c r="S18" s="101"/>
      <c r="T18" s="101"/>
      <c r="U18" s="101"/>
      <c r="V18" s="101"/>
      <c r="W18" s="101"/>
      <c r="X18" s="101"/>
      <c r="Y18" s="101"/>
      <c r="Z18" s="101"/>
      <c r="AA18" s="101"/>
      <c r="AB18" s="101"/>
      <c r="AC18" s="3"/>
      <c r="AD18" s="3"/>
    </row>
    <row r="19" spans="1:30" ht="14.4">
      <c r="A19" s="6"/>
      <c r="B19" s="101"/>
      <c r="C19" s="101"/>
      <c r="D19" s="101"/>
      <c r="E19" s="108"/>
      <c r="F19" s="90"/>
      <c r="G19" s="101"/>
      <c r="H19" s="101"/>
      <c r="I19" s="101"/>
      <c r="J19" s="101"/>
      <c r="K19" s="101"/>
      <c r="L19" s="101"/>
      <c r="M19" s="101"/>
      <c r="N19" s="101"/>
      <c r="O19" s="101"/>
      <c r="P19" s="101"/>
      <c r="Q19" s="101"/>
      <c r="R19" s="101"/>
      <c r="S19" s="101"/>
      <c r="T19" s="101"/>
      <c r="U19" s="101"/>
      <c r="V19" s="101"/>
      <c r="W19" s="101"/>
      <c r="X19" s="101"/>
      <c r="Y19" s="101"/>
      <c r="Z19" s="101"/>
      <c r="AA19" s="101"/>
      <c r="AB19" s="101"/>
      <c r="AC19" s="3"/>
      <c r="AD19" s="3"/>
    </row>
    <row r="20" spans="1:30" ht="14.4">
      <c r="A20" s="118" t="s">
        <v>34</v>
      </c>
      <c r="B20" s="90" t="s">
        <v>690</v>
      </c>
      <c r="C20" s="90" t="s">
        <v>972</v>
      </c>
      <c r="D20" s="90" t="s">
        <v>16</v>
      </c>
      <c r="E20" s="133" t="s">
        <v>692</v>
      </c>
      <c r="F20" s="95" t="s">
        <v>692</v>
      </c>
      <c r="G20" s="90" t="s">
        <v>691</v>
      </c>
      <c r="H20" s="90" t="s">
        <v>768</v>
      </c>
      <c r="I20" s="95" t="s">
        <v>694</v>
      </c>
      <c r="J20" s="95">
        <v>2020</v>
      </c>
      <c r="K20" s="3" t="s">
        <v>1191</v>
      </c>
      <c r="L20" s="3" t="s">
        <v>1192</v>
      </c>
      <c r="M20" s="3" t="s">
        <v>1193</v>
      </c>
      <c r="N20" s="3" t="s">
        <v>1194</v>
      </c>
      <c r="O20" s="3" t="s">
        <v>1195</v>
      </c>
      <c r="P20" s="3" t="s">
        <v>1196</v>
      </c>
      <c r="Q20" s="3" t="s">
        <v>1197</v>
      </c>
      <c r="R20" s="101"/>
      <c r="S20" s="101"/>
      <c r="T20" s="101"/>
      <c r="U20" s="101"/>
      <c r="V20" s="101"/>
      <c r="W20" s="101"/>
      <c r="X20" s="101"/>
      <c r="Y20" s="101"/>
      <c r="Z20" s="101"/>
      <c r="AA20" s="101"/>
      <c r="AB20" s="101"/>
      <c r="AC20" s="3"/>
      <c r="AD20" s="3"/>
    </row>
    <row r="21" spans="1:30" ht="14.4">
      <c r="A21" s="90"/>
      <c r="B21" s="90"/>
      <c r="C21" s="134"/>
      <c r="D21" s="96"/>
      <c r="E21" s="129"/>
      <c r="F21" s="90"/>
      <c r="G21" s="90"/>
      <c r="H21" s="90"/>
      <c r="I21" s="90"/>
      <c r="J21" s="90"/>
      <c r="K21" s="90"/>
      <c r="L21" s="90"/>
      <c r="M21" s="90"/>
      <c r="N21" s="90"/>
      <c r="O21" s="90"/>
      <c r="P21" s="101"/>
      <c r="Q21" s="101"/>
      <c r="R21" s="101"/>
      <c r="S21" s="101"/>
      <c r="T21" s="101"/>
      <c r="U21" s="101"/>
      <c r="V21" s="101"/>
      <c r="W21" s="101"/>
      <c r="X21" s="101"/>
      <c r="Y21" s="101"/>
      <c r="Z21" s="101"/>
      <c r="AA21" s="101"/>
      <c r="AB21" s="101"/>
      <c r="AC21" s="3"/>
      <c r="AD21" s="3"/>
    </row>
    <row r="22" spans="1:30" ht="13.2" customHeight="1">
      <c r="A22" s="119" t="s">
        <v>35</v>
      </c>
      <c r="B22" s="90" t="s">
        <v>823</v>
      </c>
      <c r="C22" s="90" t="s">
        <v>36</v>
      </c>
      <c r="D22" s="90" t="s">
        <v>16</v>
      </c>
      <c r="E22" s="129" t="str">
        <f>HYPERLINK("https://doi.org/" &amp; F22, "https://doi.org/" &amp; F22)</f>
        <v>https://doi.org/10.1080/13600834.2024.2321052</v>
      </c>
      <c r="F22" s="96" t="s">
        <v>825</v>
      </c>
      <c r="G22" s="90" t="s">
        <v>824</v>
      </c>
      <c r="H22" s="90" t="s">
        <v>830</v>
      </c>
      <c r="I22" s="96" t="s">
        <v>833</v>
      </c>
      <c r="J22" s="96">
        <v>2024</v>
      </c>
      <c r="K22" s="3" t="s">
        <v>1198</v>
      </c>
      <c r="L22" s="3" t="s">
        <v>1199</v>
      </c>
      <c r="M22" s="3" t="s">
        <v>1200</v>
      </c>
      <c r="N22" s="3" t="s">
        <v>1201</v>
      </c>
      <c r="O22" s="3" t="s">
        <v>1202</v>
      </c>
      <c r="P22" s="3" t="s">
        <v>1203</v>
      </c>
      <c r="Q22" s="3" t="s">
        <v>1204</v>
      </c>
      <c r="R22" s="90"/>
    </row>
    <row r="23" spans="1:30" ht="14.4">
      <c r="A23" s="119"/>
      <c r="B23" s="90" t="s">
        <v>826</v>
      </c>
      <c r="C23" s="90" t="s">
        <v>37</v>
      </c>
      <c r="D23" s="90" t="s">
        <v>16</v>
      </c>
      <c r="E23" s="129" t="str">
        <f t="shared" ref="E23:E27" si="2">HYPERLINK("https://doi.org/" &amp; F23, "https://doi.org/" &amp; F23)</f>
        <v>https://doi.org/10.1080/02564602.2020.1803152</v>
      </c>
      <c r="F23" s="96" t="s">
        <v>828</v>
      </c>
      <c r="G23" s="90" t="s">
        <v>827</v>
      </c>
      <c r="H23" s="90" t="s">
        <v>831</v>
      </c>
      <c r="I23" s="93" t="s">
        <v>834</v>
      </c>
      <c r="J23" s="96">
        <v>2021</v>
      </c>
      <c r="K23" s="3" t="s">
        <v>1205</v>
      </c>
      <c r="L23" s="3" t="s">
        <v>1206</v>
      </c>
      <c r="M23" s="3" t="s">
        <v>1207</v>
      </c>
      <c r="N23" s="3" t="s">
        <v>1208</v>
      </c>
      <c r="O23" s="3" t="s">
        <v>1209</v>
      </c>
      <c r="P23" s="3" t="s">
        <v>1210</v>
      </c>
      <c r="Q23" s="3" t="s">
        <v>1211</v>
      </c>
      <c r="R23" s="90"/>
    </row>
    <row r="24" spans="1:30" ht="15" thickBot="1">
      <c r="A24" s="3"/>
      <c r="B24" s="134"/>
      <c r="C24" s="96"/>
      <c r="D24" s="129"/>
      <c r="E24" s="129"/>
      <c r="F24" s="90"/>
      <c r="G24" s="90"/>
      <c r="H24" s="90"/>
      <c r="I24" s="90"/>
      <c r="J24" s="90"/>
      <c r="K24" s="90"/>
      <c r="L24" s="90"/>
      <c r="M24" s="90"/>
      <c r="N24" s="90"/>
      <c r="O24" s="101"/>
      <c r="P24" s="101"/>
      <c r="Q24" s="101"/>
      <c r="R24" s="101"/>
      <c r="S24" s="101"/>
      <c r="T24" s="101"/>
      <c r="U24" s="101"/>
      <c r="V24" s="101"/>
      <c r="W24" s="101"/>
      <c r="X24" s="101"/>
      <c r="Y24" s="101"/>
      <c r="Z24" s="101"/>
      <c r="AA24" s="101"/>
      <c r="AB24" s="101"/>
      <c r="AC24" s="3"/>
      <c r="AD24" s="3"/>
    </row>
    <row r="25" spans="1:30" ht="15" thickBot="1">
      <c r="A25" s="88" t="s">
        <v>38</v>
      </c>
      <c r="B25" s="90" t="s">
        <v>1077</v>
      </c>
      <c r="C25" s="90"/>
      <c r="D25" s="90" t="s">
        <v>19</v>
      </c>
      <c r="E25" s="129" t="str">
        <f t="shared" si="2"/>
        <v>https://doi.org/10.1109/ACCESS.2022.3214227</v>
      </c>
      <c r="F25" s="120" t="s">
        <v>1079</v>
      </c>
      <c r="G25" s="120" t="s">
        <v>1078</v>
      </c>
      <c r="H25" s="90" t="s">
        <v>1080</v>
      </c>
      <c r="I25" s="90" t="s">
        <v>1081</v>
      </c>
      <c r="J25" s="120">
        <v>2022</v>
      </c>
      <c r="K25" s="3" t="s">
        <v>1212</v>
      </c>
      <c r="L25" s="3" t="s">
        <v>1213</v>
      </c>
      <c r="M25" s="3" t="s">
        <v>1214</v>
      </c>
      <c r="N25" s="3" t="s">
        <v>1215</v>
      </c>
      <c r="O25" s="3" t="s">
        <v>1216</v>
      </c>
      <c r="P25" s="3" t="s">
        <v>1217</v>
      </c>
      <c r="Q25" s="3" t="s">
        <v>1218</v>
      </c>
      <c r="R25" s="101"/>
      <c r="S25" s="101"/>
      <c r="T25" s="101"/>
      <c r="U25" s="101"/>
      <c r="V25" s="101"/>
      <c r="W25" s="101"/>
      <c r="X25" s="101"/>
      <c r="Y25" s="101"/>
      <c r="Z25" s="101"/>
      <c r="AA25" s="101"/>
      <c r="AB25" s="101"/>
      <c r="AC25" s="3"/>
      <c r="AD25" s="3"/>
    </row>
    <row r="26" spans="1:30" ht="15" thickBot="1">
      <c r="A26" s="88"/>
      <c r="B26" s="90" t="s">
        <v>1082</v>
      </c>
      <c r="C26" s="90"/>
      <c r="D26" s="90" t="s">
        <v>19</v>
      </c>
      <c r="E26" s="129" t="str">
        <f t="shared" si="2"/>
        <v>https://doi.org/10.1109/WACV56688.2023.00435</v>
      </c>
      <c r="F26" s="120" t="s">
        <v>1084</v>
      </c>
      <c r="G26" s="120" t="s">
        <v>1083</v>
      </c>
      <c r="H26" s="120" t="s">
        <v>1085</v>
      </c>
      <c r="I26" s="120" t="s">
        <v>1086</v>
      </c>
      <c r="J26" s="120">
        <v>2023</v>
      </c>
      <c r="K26" s="3" t="s">
        <v>1219</v>
      </c>
      <c r="L26" s="3" t="s">
        <v>1220</v>
      </c>
      <c r="M26" s="3" t="s">
        <v>1221</v>
      </c>
      <c r="N26" s="3" t="s">
        <v>1222</v>
      </c>
      <c r="O26" s="3" t="s">
        <v>1223</v>
      </c>
      <c r="P26" s="3" t="s">
        <v>1224</v>
      </c>
      <c r="Q26" s="3" t="s">
        <v>1225</v>
      </c>
      <c r="R26" s="101"/>
      <c r="S26" s="101"/>
      <c r="T26" s="101"/>
      <c r="U26" s="101"/>
      <c r="V26" s="101"/>
      <c r="W26" s="101"/>
      <c r="X26" s="101"/>
      <c r="Y26" s="101"/>
      <c r="Z26" s="101"/>
      <c r="AA26" s="101"/>
      <c r="AB26" s="101"/>
      <c r="AC26" s="3"/>
      <c r="AD26" s="3"/>
    </row>
    <row r="27" spans="1:30" ht="15" thickBot="1">
      <c r="A27" s="88"/>
      <c r="B27" s="120" t="s">
        <v>1087</v>
      </c>
      <c r="C27" s="90"/>
      <c r="D27" s="90" t="s">
        <v>19</v>
      </c>
      <c r="E27" s="129" t="str">
        <f t="shared" si="2"/>
        <v>https://doi.org/10.1109/TVT.2020.3043203</v>
      </c>
      <c r="F27" s="120" t="s">
        <v>1088</v>
      </c>
      <c r="G27" s="120" t="s">
        <v>1089</v>
      </c>
      <c r="H27" s="120" t="s">
        <v>1090</v>
      </c>
      <c r="I27" s="120" t="s">
        <v>1091</v>
      </c>
      <c r="J27" s="120">
        <v>2020</v>
      </c>
      <c r="K27" s="3" t="s">
        <v>1226</v>
      </c>
      <c r="L27" s="3" t="s">
        <v>1227</v>
      </c>
      <c r="M27" s="3" t="s">
        <v>1228</v>
      </c>
      <c r="N27" s="3" t="s">
        <v>1229</v>
      </c>
      <c r="O27" s="3" t="s">
        <v>1230</v>
      </c>
      <c r="P27" s="3" t="s">
        <v>1231</v>
      </c>
      <c r="Q27" s="3" t="s">
        <v>1232</v>
      </c>
      <c r="R27" s="101"/>
      <c r="S27" s="101"/>
      <c r="T27" s="101"/>
      <c r="U27" s="101"/>
      <c r="V27" s="101"/>
      <c r="W27" s="101"/>
      <c r="X27" s="101"/>
      <c r="Y27" s="101"/>
      <c r="Z27" s="101"/>
      <c r="AA27" s="101"/>
      <c r="AB27" s="101"/>
      <c r="AC27" s="3"/>
      <c r="AD27" s="3"/>
    </row>
    <row r="28" spans="1:30" ht="14.4">
      <c r="A28" s="3"/>
      <c r="G28" s="101"/>
      <c r="H28" s="101"/>
      <c r="I28" s="110"/>
      <c r="J28" s="110"/>
      <c r="K28" s="101"/>
      <c r="L28" s="101"/>
      <c r="M28" s="110"/>
      <c r="N28" s="101"/>
      <c r="O28" s="101"/>
      <c r="P28" s="101"/>
      <c r="Q28" s="101"/>
      <c r="R28" s="101"/>
      <c r="S28" s="101"/>
      <c r="T28" s="101"/>
      <c r="U28" s="101"/>
      <c r="V28" s="101"/>
      <c r="W28" s="101"/>
      <c r="X28" s="101"/>
      <c r="Y28" s="101"/>
      <c r="Z28" s="101"/>
      <c r="AA28" s="101"/>
      <c r="AB28" s="101"/>
      <c r="AC28" s="3"/>
      <c r="AD28" s="3"/>
    </row>
    <row r="29" spans="1:30" ht="14.4">
      <c r="A29" s="3"/>
      <c r="G29" s="3"/>
      <c r="H29" s="3"/>
      <c r="I29" s="3"/>
      <c r="J29" s="3"/>
      <c r="K29" s="3"/>
      <c r="L29" s="3"/>
      <c r="M29" s="3"/>
      <c r="N29" s="3"/>
      <c r="O29" s="3"/>
      <c r="P29" s="3"/>
      <c r="Q29" s="3"/>
      <c r="R29" s="3"/>
      <c r="S29" s="3"/>
      <c r="T29" s="3"/>
      <c r="U29" s="3"/>
      <c r="V29" s="3"/>
      <c r="W29" s="3"/>
      <c r="X29" s="3"/>
      <c r="Y29" s="3"/>
      <c r="Z29" s="3"/>
      <c r="AA29" s="3"/>
      <c r="AB29" s="3"/>
      <c r="AC29" s="3"/>
      <c r="AD29" s="3"/>
    </row>
    <row r="30" spans="1:30" ht="14.4">
      <c r="A30" s="6"/>
      <c r="G30" s="3"/>
      <c r="H30" s="3"/>
      <c r="I30" s="3"/>
      <c r="J30" s="3"/>
      <c r="K30" s="3"/>
      <c r="L30" s="3"/>
      <c r="M30" s="3"/>
      <c r="N30" s="3"/>
      <c r="O30" s="3"/>
      <c r="P30" s="3"/>
      <c r="Q30" s="3"/>
      <c r="R30" s="3"/>
      <c r="S30" s="3"/>
      <c r="T30" s="3"/>
      <c r="U30" s="3"/>
      <c r="V30" s="3"/>
      <c r="W30" s="3"/>
      <c r="X30" s="3"/>
      <c r="Y30" s="3"/>
      <c r="Z30" s="3"/>
      <c r="AA30" s="3"/>
      <c r="AB30" s="3"/>
      <c r="AC30" s="3"/>
      <c r="AD30" s="3"/>
    </row>
    <row r="31" spans="1:30" ht="14.4">
      <c r="A31" s="6"/>
      <c r="G31" s="3"/>
      <c r="H31" s="3"/>
      <c r="I31" s="3"/>
      <c r="J31" s="3"/>
      <c r="K31" s="3"/>
      <c r="L31" s="3"/>
      <c r="M31" s="3"/>
      <c r="N31" s="3"/>
      <c r="O31" s="3"/>
      <c r="P31" s="3"/>
      <c r="Q31" s="3"/>
      <c r="R31" s="3"/>
      <c r="S31" s="3"/>
      <c r="T31" s="3"/>
      <c r="U31" s="3"/>
      <c r="V31" s="3"/>
      <c r="W31" s="3"/>
      <c r="X31" s="3"/>
      <c r="Y31" s="3"/>
      <c r="Z31" s="3"/>
      <c r="AA31" s="3"/>
      <c r="AB31" s="3"/>
      <c r="AC31" s="3"/>
      <c r="AD31" s="3"/>
    </row>
    <row r="32" spans="1:30" ht="14.4">
      <c r="A32" s="6"/>
      <c r="B32" s="17"/>
      <c r="C32" s="17"/>
      <c r="D32" s="17"/>
      <c r="E32" s="60"/>
      <c r="F32" s="17"/>
      <c r="G32" s="17"/>
      <c r="H32" s="17"/>
      <c r="I32" s="17"/>
      <c r="J32" s="17"/>
      <c r="K32" s="17"/>
      <c r="L32" s="17"/>
      <c r="M32" s="17"/>
      <c r="N32" s="17"/>
      <c r="O32" s="3"/>
      <c r="P32" s="3"/>
      <c r="Q32" s="3"/>
      <c r="R32" s="3"/>
      <c r="S32" s="3"/>
      <c r="T32" s="3"/>
      <c r="U32" s="3"/>
      <c r="V32" s="3"/>
      <c r="W32" s="3"/>
      <c r="X32" s="3"/>
      <c r="Y32" s="3"/>
      <c r="Z32" s="3"/>
      <c r="AA32" s="3"/>
      <c r="AB32" s="3"/>
      <c r="AC32" s="3"/>
      <c r="AD32" s="3"/>
    </row>
    <row r="33" spans="1:30" ht="14.4">
      <c r="A33" s="6"/>
      <c r="G33" s="3"/>
      <c r="H33" s="3"/>
      <c r="I33" s="3"/>
      <c r="J33" s="3"/>
      <c r="K33" s="3"/>
      <c r="L33" s="3"/>
      <c r="M33" s="3"/>
      <c r="N33" s="3"/>
      <c r="O33" s="3"/>
      <c r="P33" s="3"/>
      <c r="Q33" s="3"/>
      <c r="R33" s="3"/>
      <c r="S33" s="3"/>
      <c r="T33" s="3"/>
      <c r="U33" s="3"/>
      <c r="V33" s="3"/>
      <c r="W33" s="3"/>
      <c r="X33" s="3"/>
      <c r="Y33" s="3"/>
      <c r="Z33" s="3"/>
      <c r="AA33" s="3"/>
      <c r="AB33" s="3"/>
      <c r="AC33" s="3"/>
      <c r="AD33" s="3"/>
    </row>
    <row r="34" spans="1:30" ht="14.4">
      <c r="A34" s="6"/>
      <c r="B34" s="59"/>
      <c r="G34" s="3"/>
      <c r="H34" s="3"/>
      <c r="I34" s="3"/>
      <c r="J34" s="3"/>
      <c r="K34" s="3"/>
      <c r="L34" s="3"/>
      <c r="M34" s="3"/>
      <c r="N34" s="3"/>
      <c r="O34" s="3"/>
      <c r="P34" s="3"/>
      <c r="Q34" s="3"/>
      <c r="R34" s="3"/>
      <c r="S34" s="3"/>
      <c r="T34" s="3"/>
      <c r="U34" s="3"/>
      <c r="V34" s="3"/>
      <c r="W34" s="3"/>
      <c r="X34" s="3"/>
      <c r="Y34" s="3"/>
      <c r="Z34" s="3"/>
      <c r="AA34" s="3"/>
      <c r="AB34" s="3"/>
      <c r="AC34" s="3"/>
      <c r="AD34" s="3"/>
    </row>
    <row r="35" spans="1:30" ht="15">
      <c r="A35" s="6"/>
      <c r="B35" s="10"/>
      <c r="C35" s="9"/>
      <c r="D35" s="8"/>
      <c r="E35" s="8"/>
      <c r="G35" s="3"/>
      <c r="H35" s="3"/>
      <c r="I35" s="3"/>
      <c r="J35" s="3"/>
      <c r="K35" s="3"/>
      <c r="L35" s="3"/>
      <c r="M35" s="3"/>
      <c r="N35" s="3"/>
      <c r="O35" s="3"/>
      <c r="P35" s="3"/>
      <c r="Q35" s="3"/>
      <c r="R35" s="3"/>
      <c r="S35" s="3"/>
      <c r="T35" s="3"/>
      <c r="U35" s="3"/>
      <c r="V35" s="3"/>
      <c r="W35" s="3"/>
      <c r="X35" s="3"/>
      <c r="Y35" s="3"/>
      <c r="Z35" s="3"/>
      <c r="AA35" s="3"/>
      <c r="AB35" s="3"/>
      <c r="AC35" s="3"/>
      <c r="AD35" s="3"/>
    </row>
    <row r="36" spans="1:30" ht="14.4">
      <c r="A36" s="6"/>
      <c r="G36" s="3"/>
      <c r="H36" s="3"/>
      <c r="I36" s="3"/>
      <c r="J36" s="3"/>
      <c r="K36" s="3"/>
      <c r="L36" s="3"/>
      <c r="M36" s="3"/>
      <c r="N36" s="3"/>
      <c r="O36" s="3"/>
      <c r="P36" s="3"/>
      <c r="Q36" s="3"/>
      <c r="R36" s="3"/>
      <c r="S36" s="3"/>
      <c r="T36" s="3"/>
      <c r="U36" s="3"/>
      <c r="V36" s="3"/>
      <c r="W36" s="3"/>
      <c r="X36" s="3"/>
      <c r="Y36" s="3"/>
      <c r="Z36" s="3"/>
      <c r="AA36" s="3"/>
      <c r="AB36" s="3"/>
      <c r="AC36" s="3"/>
      <c r="AD36" s="3"/>
    </row>
    <row r="37" spans="1:30" ht="14.4">
      <c r="A37" s="6"/>
      <c r="G37" s="3"/>
      <c r="H37" s="3"/>
      <c r="I37" s="3"/>
      <c r="J37" s="3"/>
      <c r="K37" s="3"/>
      <c r="L37" s="3"/>
      <c r="M37" s="3"/>
      <c r="N37" s="3"/>
      <c r="O37" s="3"/>
      <c r="P37" s="3"/>
      <c r="Q37" s="3"/>
      <c r="R37" s="3"/>
      <c r="S37" s="3"/>
      <c r="T37" s="3"/>
      <c r="U37" s="3"/>
      <c r="V37" s="3"/>
      <c r="W37" s="3"/>
      <c r="X37" s="3"/>
      <c r="Y37" s="3"/>
      <c r="Z37" s="3"/>
      <c r="AA37" s="3"/>
      <c r="AB37" s="3"/>
      <c r="AC37" s="3"/>
      <c r="AD37" s="3"/>
    </row>
    <row r="38" spans="1:30" ht="14.4">
      <c r="A38" s="6"/>
      <c r="G38" s="3"/>
      <c r="H38" s="3"/>
      <c r="I38" s="3"/>
      <c r="J38" s="3"/>
      <c r="K38" s="3"/>
      <c r="L38" s="3"/>
      <c r="M38" s="3"/>
      <c r="N38" s="3"/>
      <c r="O38" s="3"/>
      <c r="P38" s="3"/>
      <c r="Q38" s="3"/>
      <c r="R38" s="3"/>
      <c r="S38" s="3"/>
      <c r="T38" s="3"/>
      <c r="U38" s="3"/>
      <c r="V38" s="3"/>
      <c r="W38" s="3"/>
      <c r="X38" s="3"/>
      <c r="Y38" s="3"/>
      <c r="Z38" s="3"/>
      <c r="AA38" s="3"/>
      <c r="AB38" s="3"/>
      <c r="AC38" s="3"/>
      <c r="AD38" s="3"/>
    </row>
    <row r="39" spans="1:30" ht="14.4">
      <c r="A39" s="6"/>
      <c r="B39" s="17"/>
      <c r="C39" s="55"/>
      <c r="D39" s="17"/>
      <c r="E39" s="17"/>
      <c r="F39" s="17"/>
      <c r="G39" s="3"/>
      <c r="H39" s="3"/>
      <c r="I39" s="3"/>
      <c r="J39" s="3"/>
      <c r="K39" s="3"/>
      <c r="L39" s="3"/>
      <c r="M39" s="3"/>
      <c r="N39" s="3"/>
      <c r="O39" s="3"/>
      <c r="P39" s="3"/>
      <c r="Q39" s="3"/>
      <c r="R39" s="3"/>
      <c r="S39" s="3"/>
      <c r="T39" s="3"/>
      <c r="U39" s="3"/>
      <c r="V39" s="3"/>
      <c r="W39" s="3"/>
      <c r="X39" s="3"/>
      <c r="Y39" s="3"/>
      <c r="Z39" s="3"/>
      <c r="AA39" s="3"/>
      <c r="AB39" s="3"/>
      <c r="AC39" s="3"/>
      <c r="AD39" s="3"/>
    </row>
    <row r="40" spans="1:30" ht="14.4">
      <c r="A40" s="6"/>
      <c r="B40" s="17"/>
      <c r="C40" s="55"/>
      <c r="D40" s="17"/>
      <c r="E40" s="17"/>
      <c r="F40" s="17"/>
      <c r="G40" s="3"/>
      <c r="H40" s="3"/>
      <c r="I40" s="3"/>
      <c r="J40" s="3"/>
      <c r="K40" s="3"/>
      <c r="L40" s="3"/>
      <c r="M40" s="3"/>
      <c r="N40" s="3"/>
      <c r="O40" s="3"/>
      <c r="P40" s="3"/>
      <c r="Q40" s="3"/>
      <c r="R40" s="3"/>
      <c r="S40" s="3"/>
      <c r="T40" s="3"/>
      <c r="U40" s="3"/>
      <c r="V40" s="3"/>
      <c r="W40" s="3"/>
      <c r="X40" s="3"/>
      <c r="Y40" s="3"/>
      <c r="Z40" s="3"/>
      <c r="AA40" s="3"/>
      <c r="AB40" s="3"/>
      <c r="AC40" s="3"/>
      <c r="AD40" s="3"/>
    </row>
    <row r="41" spans="1:30" ht="14.4">
      <c r="A41" s="6"/>
      <c r="B41" s="12"/>
      <c r="C41" s="12"/>
      <c r="D41" s="12"/>
      <c r="E41" s="12"/>
      <c r="F41" s="12"/>
      <c r="G41" s="3"/>
      <c r="H41" s="3"/>
      <c r="I41" s="3"/>
      <c r="J41" s="3"/>
      <c r="K41" s="3"/>
      <c r="L41" s="3"/>
      <c r="M41" s="3"/>
      <c r="N41" s="3"/>
      <c r="O41" s="3"/>
      <c r="P41" s="3"/>
      <c r="Q41" s="3"/>
      <c r="R41" s="3"/>
      <c r="S41" s="3"/>
      <c r="T41" s="3"/>
      <c r="U41" s="3"/>
      <c r="V41" s="3"/>
      <c r="W41" s="3"/>
      <c r="X41" s="3"/>
      <c r="Y41" s="3"/>
      <c r="Z41" s="3"/>
      <c r="AA41" s="3"/>
      <c r="AB41" s="3"/>
      <c r="AC41" s="3"/>
      <c r="AD41" s="3"/>
    </row>
    <row r="42" spans="1:30" ht="14.4">
      <c r="A42" s="6"/>
      <c r="B42" s="12"/>
      <c r="C42" s="12"/>
      <c r="D42" s="59"/>
      <c r="E42" s="12"/>
      <c r="F42" s="12"/>
      <c r="G42" s="3"/>
      <c r="H42" s="3"/>
      <c r="I42" s="3"/>
      <c r="J42" s="3"/>
      <c r="K42" s="3"/>
      <c r="L42" s="3"/>
      <c r="M42" s="3"/>
      <c r="N42" s="3"/>
      <c r="O42" s="3"/>
      <c r="P42" s="3"/>
      <c r="Q42" s="3"/>
      <c r="R42" s="3"/>
      <c r="S42" s="3"/>
      <c r="T42" s="3"/>
      <c r="U42" s="3"/>
      <c r="V42" s="3"/>
      <c r="W42" s="3"/>
      <c r="X42" s="3"/>
      <c r="Y42" s="3"/>
      <c r="Z42" s="3"/>
      <c r="AA42" s="3"/>
      <c r="AB42" s="3"/>
      <c r="AC42" s="3"/>
      <c r="AD42" s="3"/>
    </row>
    <row r="43" spans="1:30" ht="14.4">
      <c r="A43" s="6"/>
      <c r="B43" s="12"/>
      <c r="C43" s="12"/>
      <c r="D43" s="59"/>
      <c r="E43" s="12"/>
      <c r="F43" s="12"/>
      <c r="G43" s="3"/>
      <c r="H43" s="3"/>
      <c r="I43" s="3"/>
      <c r="J43" s="3"/>
      <c r="K43" s="3"/>
      <c r="L43" s="3"/>
      <c r="M43" s="3"/>
      <c r="N43" s="3"/>
      <c r="O43" s="3"/>
      <c r="P43" s="3"/>
      <c r="Q43" s="3"/>
      <c r="R43" s="3"/>
      <c r="S43" s="3"/>
      <c r="T43" s="3"/>
      <c r="U43" s="3"/>
      <c r="V43" s="3"/>
      <c r="W43" s="3"/>
      <c r="X43" s="3"/>
      <c r="Y43" s="3"/>
      <c r="Z43" s="3"/>
      <c r="AA43" s="3"/>
      <c r="AB43" s="3"/>
      <c r="AC43" s="3"/>
      <c r="AD43" s="3"/>
    </row>
    <row r="44" spans="1:30" ht="15">
      <c r="A44" s="6"/>
      <c r="B44" s="8"/>
      <c r="C44" s="11"/>
      <c r="D44" s="8"/>
      <c r="E44" s="8"/>
      <c r="G44" s="3"/>
      <c r="H44" s="3"/>
      <c r="I44" s="3"/>
      <c r="J44" s="3"/>
      <c r="K44" s="3"/>
      <c r="L44" s="3"/>
      <c r="M44" s="3"/>
      <c r="N44" s="3"/>
      <c r="O44" s="3"/>
      <c r="P44" s="3"/>
      <c r="Q44" s="3"/>
      <c r="R44" s="3"/>
      <c r="S44" s="3"/>
      <c r="T44" s="3"/>
      <c r="U44" s="3"/>
      <c r="V44" s="3"/>
      <c r="W44" s="3"/>
      <c r="X44" s="3"/>
      <c r="Y44" s="3"/>
      <c r="Z44" s="3"/>
      <c r="AA44" s="3"/>
      <c r="AB44" s="3"/>
      <c r="AC44" s="3"/>
      <c r="AD44" s="3"/>
    </row>
    <row r="45" spans="1:30" ht="14.4">
      <c r="A45" s="6"/>
      <c r="B45" s="3"/>
      <c r="C45" s="3"/>
      <c r="D45" s="3"/>
      <c r="E45" s="7"/>
      <c r="G45" s="3"/>
      <c r="H45" s="3"/>
      <c r="I45" s="3"/>
      <c r="J45" s="3"/>
      <c r="K45" s="3"/>
      <c r="L45" s="3"/>
      <c r="M45" s="3"/>
      <c r="N45" s="3"/>
      <c r="O45" s="3"/>
      <c r="P45" s="3"/>
      <c r="Q45" s="3"/>
      <c r="R45" s="3"/>
      <c r="S45" s="3"/>
      <c r="T45" s="3"/>
      <c r="U45" s="3"/>
      <c r="V45" s="3"/>
      <c r="W45" s="3"/>
      <c r="X45" s="3"/>
      <c r="Y45" s="3"/>
      <c r="Z45" s="3"/>
      <c r="AA45" s="3"/>
      <c r="AB45" s="3"/>
      <c r="AC45" s="3"/>
      <c r="AD45" s="3"/>
    </row>
    <row r="46" spans="1:30" ht="14.4">
      <c r="A46" s="6"/>
      <c r="G46" s="3"/>
      <c r="H46" s="3"/>
      <c r="I46" s="3"/>
      <c r="J46" s="3"/>
      <c r="K46" s="3"/>
      <c r="L46" s="3"/>
      <c r="M46" s="3"/>
      <c r="N46" s="3"/>
      <c r="O46" s="3"/>
      <c r="P46" s="3"/>
      <c r="Q46" s="3"/>
      <c r="R46" s="3"/>
      <c r="S46" s="3"/>
      <c r="T46" s="3"/>
      <c r="U46" s="3"/>
      <c r="V46" s="3"/>
      <c r="W46" s="3"/>
      <c r="X46" s="3"/>
      <c r="Y46" s="3"/>
      <c r="Z46" s="3"/>
      <c r="AA46" s="3"/>
      <c r="AB46" s="3"/>
      <c r="AC46" s="3"/>
      <c r="AD46" s="3"/>
    </row>
    <row r="47" spans="1:30" ht="14.4">
      <c r="A47" s="6"/>
      <c r="G47" s="3"/>
      <c r="H47" s="3"/>
      <c r="I47" s="3"/>
      <c r="J47" s="3"/>
      <c r="K47" s="3"/>
      <c r="L47" s="3"/>
      <c r="M47" s="3"/>
      <c r="N47" s="3"/>
      <c r="O47" s="3"/>
      <c r="P47" s="3"/>
      <c r="Q47" s="3"/>
      <c r="R47" s="3"/>
      <c r="S47" s="3"/>
      <c r="T47" s="3"/>
      <c r="U47" s="3"/>
      <c r="V47" s="3"/>
      <c r="W47" s="3"/>
      <c r="X47" s="3"/>
      <c r="Y47" s="3"/>
      <c r="Z47" s="3"/>
      <c r="AA47" s="3"/>
      <c r="AB47" s="3"/>
      <c r="AC47" s="3"/>
      <c r="AD47" s="3"/>
    </row>
    <row r="48" spans="1:30" ht="14.4">
      <c r="A48" s="6"/>
      <c r="G48" s="3"/>
      <c r="H48" s="3"/>
      <c r="I48" s="3"/>
      <c r="J48" s="3"/>
      <c r="K48" s="3"/>
      <c r="L48" s="3"/>
      <c r="M48" s="3"/>
      <c r="N48" s="3"/>
      <c r="O48" s="3"/>
      <c r="P48" s="3"/>
      <c r="Q48" s="3"/>
      <c r="R48" s="3"/>
      <c r="S48" s="3"/>
      <c r="T48" s="3"/>
      <c r="U48" s="3"/>
      <c r="V48" s="3"/>
      <c r="W48" s="3"/>
      <c r="X48" s="3"/>
      <c r="Y48" s="3"/>
      <c r="Z48" s="3"/>
      <c r="AA48" s="3"/>
      <c r="AB48" s="3"/>
      <c r="AC48" s="3"/>
      <c r="AD48" s="3"/>
    </row>
    <row r="49" spans="1:30" ht="14.4">
      <c r="A49" s="6"/>
      <c r="G49" s="3"/>
      <c r="H49" s="3"/>
      <c r="I49" s="3"/>
      <c r="J49" s="3"/>
      <c r="K49" s="3"/>
      <c r="L49" s="3"/>
      <c r="M49" s="3"/>
      <c r="N49" s="3"/>
      <c r="O49" s="3"/>
      <c r="P49" s="3"/>
      <c r="Q49" s="3"/>
      <c r="R49" s="3"/>
      <c r="S49" s="3"/>
      <c r="T49" s="3"/>
      <c r="U49" s="3"/>
      <c r="V49" s="3"/>
      <c r="W49" s="3"/>
      <c r="X49" s="3"/>
      <c r="Y49" s="3"/>
      <c r="Z49" s="3"/>
      <c r="AA49" s="3"/>
      <c r="AB49" s="3"/>
      <c r="AC49" s="3"/>
      <c r="AD49" s="3"/>
    </row>
    <row r="50" spans="1:30" ht="14.4">
      <c r="A50" s="6"/>
      <c r="G50" s="3"/>
      <c r="H50" s="3"/>
      <c r="I50" s="3"/>
      <c r="J50" s="3"/>
      <c r="K50" s="3"/>
      <c r="L50" s="3"/>
      <c r="M50" s="3"/>
      <c r="N50" s="3"/>
      <c r="O50" s="3"/>
      <c r="P50" s="3"/>
      <c r="Q50" s="3"/>
      <c r="R50" s="3"/>
      <c r="S50" s="3"/>
      <c r="T50" s="3"/>
      <c r="U50" s="3"/>
      <c r="V50" s="3"/>
      <c r="W50" s="3"/>
      <c r="X50" s="3"/>
      <c r="Y50" s="3"/>
      <c r="Z50" s="3"/>
      <c r="AA50" s="3"/>
      <c r="AB50" s="3"/>
      <c r="AC50" s="3"/>
      <c r="AD50" s="3"/>
    </row>
    <row r="51" spans="1:30" ht="14.4">
      <c r="A51" s="6"/>
      <c r="G51" s="3"/>
      <c r="H51" s="3"/>
      <c r="I51" s="3"/>
      <c r="J51" s="3"/>
      <c r="K51" s="3"/>
      <c r="L51" s="3"/>
      <c r="M51" s="3"/>
      <c r="N51" s="3"/>
      <c r="O51" s="3"/>
      <c r="P51" s="3"/>
      <c r="Q51" s="3"/>
      <c r="R51" s="3"/>
      <c r="S51" s="3"/>
      <c r="T51" s="3"/>
      <c r="U51" s="3"/>
      <c r="V51" s="3"/>
      <c r="W51" s="3"/>
      <c r="X51" s="3"/>
      <c r="Y51" s="3"/>
      <c r="Z51" s="3"/>
      <c r="AA51" s="3"/>
      <c r="AB51" s="3"/>
      <c r="AC51" s="3"/>
      <c r="AD51" s="3"/>
    </row>
    <row r="52" spans="1:30" ht="14.4">
      <c r="A52" s="6"/>
      <c r="G52" s="3"/>
      <c r="H52" s="3"/>
      <c r="I52" s="3"/>
      <c r="J52" s="3"/>
      <c r="K52" s="3"/>
      <c r="L52" s="3"/>
      <c r="M52" s="3"/>
      <c r="N52" s="3"/>
      <c r="O52" s="3"/>
      <c r="P52" s="3"/>
      <c r="Q52" s="3"/>
      <c r="R52" s="3"/>
      <c r="S52" s="3"/>
      <c r="T52" s="3"/>
      <c r="U52" s="3"/>
      <c r="V52" s="3"/>
      <c r="W52" s="3"/>
      <c r="X52" s="3"/>
      <c r="Y52" s="3"/>
      <c r="Z52" s="3"/>
      <c r="AA52" s="3"/>
      <c r="AB52" s="3"/>
      <c r="AC52" s="3"/>
      <c r="AD52" s="3"/>
    </row>
    <row r="53" spans="1:30" ht="14.4">
      <c r="A53" s="6"/>
      <c r="G53" s="3"/>
      <c r="H53" s="3"/>
      <c r="I53" s="3"/>
      <c r="J53" s="3"/>
      <c r="K53" s="3"/>
      <c r="L53" s="3"/>
      <c r="M53" s="3"/>
      <c r="N53" s="3"/>
      <c r="O53" s="3"/>
      <c r="P53" s="3"/>
      <c r="Q53" s="3"/>
      <c r="R53" s="3"/>
      <c r="S53" s="3"/>
      <c r="T53" s="3"/>
      <c r="U53" s="3"/>
      <c r="V53" s="3"/>
      <c r="W53" s="3"/>
      <c r="X53" s="3"/>
      <c r="Y53" s="3"/>
      <c r="Z53" s="3"/>
      <c r="AA53" s="3"/>
      <c r="AB53" s="3"/>
      <c r="AC53" s="3"/>
      <c r="AD53" s="3"/>
    </row>
    <row r="54" spans="1:30" ht="14.4">
      <c r="A54" s="6"/>
      <c r="G54" s="3"/>
      <c r="H54" s="3"/>
      <c r="I54" s="3"/>
      <c r="J54" s="3"/>
      <c r="K54" s="3"/>
      <c r="L54" s="3"/>
      <c r="M54" s="3"/>
      <c r="N54" s="3"/>
      <c r="O54" s="3"/>
      <c r="P54" s="3"/>
      <c r="Q54" s="3"/>
      <c r="R54" s="3"/>
      <c r="S54" s="3"/>
      <c r="T54" s="3"/>
      <c r="U54" s="3"/>
      <c r="V54" s="3"/>
      <c r="W54" s="3"/>
      <c r="X54" s="3"/>
      <c r="Y54" s="3"/>
      <c r="Z54" s="3"/>
      <c r="AA54" s="3"/>
      <c r="AB54" s="3"/>
      <c r="AC54" s="3"/>
      <c r="AD54" s="3"/>
    </row>
    <row r="55" spans="1:30" ht="14.4">
      <c r="A55" s="6"/>
      <c r="G55" s="3"/>
      <c r="H55" s="3"/>
      <c r="I55" s="3"/>
      <c r="J55" s="3"/>
      <c r="K55" s="3"/>
      <c r="L55" s="3"/>
      <c r="M55" s="3"/>
      <c r="N55" s="3"/>
      <c r="O55" s="3"/>
      <c r="P55" s="3"/>
      <c r="Q55" s="3"/>
      <c r="R55" s="3"/>
      <c r="S55" s="3"/>
      <c r="T55" s="3"/>
      <c r="U55" s="3"/>
      <c r="V55" s="3"/>
      <c r="W55" s="3"/>
      <c r="X55" s="3"/>
      <c r="Y55" s="3"/>
      <c r="Z55" s="3"/>
      <c r="AA55" s="3"/>
      <c r="AB55" s="3"/>
      <c r="AC55" s="3"/>
      <c r="AD55" s="3"/>
    </row>
    <row r="56" spans="1:30" ht="14.4">
      <c r="A56" s="6"/>
      <c r="G56" s="3"/>
      <c r="H56" s="3"/>
      <c r="I56" s="3"/>
      <c r="J56" s="3"/>
      <c r="K56" s="3"/>
      <c r="L56" s="3"/>
      <c r="M56" s="3"/>
      <c r="N56" s="3"/>
      <c r="O56" s="3"/>
      <c r="P56" s="3"/>
      <c r="Q56" s="3"/>
      <c r="R56" s="3"/>
      <c r="S56" s="3"/>
      <c r="T56" s="3"/>
      <c r="U56" s="3"/>
      <c r="V56" s="3"/>
      <c r="W56" s="3"/>
      <c r="X56" s="3"/>
      <c r="Y56" s="3"/>
      <c r="Z56" s="3"/>
      <c r="AA56" s="3"/>
      <c r="AB56" s="3"/>
      <c r="AC56" s="3"/>
      <c r="AD56" s="3"/>
    </row>
    <row r="57" spans="1:30" ht="14.4">
      <c r="A57" s="6"/>
      <c r="G57" s="3"/>
      <c r="H57" s="3"/>
      <c r="I57" s="3"/>
      <c r="J57" s="3"/>
      <c r="K57" s="3"/>
      <c r="L57" s="3"/>
      <c r="M57" s="3"/>
      <c r="N57" s="3"/>
      <c r="O57" s="3"/>
      <c r="P57" s="3"/>
      <c r="Q57" s="3"/>
      <c r="R57" s="3"/>
      <c r="S57" s="3"/>
      <c r="T57" s="3"/>
      <c r="U57" s="3"/>
      <c r="V57" s="3"/>
      <c r="W57" s="3"/>
      <c r="X57" s="3"/>
      <c r="Y57" s="3"/>
      <c r="Z57" s="3"/>
      <c r="AA57" s="3"/>
      <c r="AB57" s="3"/>
      <c r="AC57" s="3"/>
      <c r="AD57" s="3"/>
    </row>
    <row r="58" spans="1:30" ht="14.4">
      <c r="A58" s="6"/>
      <c r="G58" s="3"/>
      <c r="H58" s="3"/>
      <c r="I58" s="3"/>
      <c r="J58" s="3"/>
      <c r="K58" s="3"/>
      <c r="L58" s="3"/>
      <c r="M58" s="3"/>
      <c r="N58" s="3"/>
      <c r="O58" s="3"/>
      <c r="P58" s="3"/>
      <c r="Q58" s="3"/>
      <c r="R58" s="3"/>
      <c r="S58" s="3"/>
      <c r="T58" s="3"/>
      <c r="U58" s="3"/>
      <c r="V58" s="3"/>
      <c r="W58" s="3"/>
      <c r="X58" s="3"/>
      <c r="Y58" s="3"/>
      <c r="Z58" s="3"/>
      <c r="AA58" s="3"/>
      <c r="AB58" s="3"/>
      <c r="AC58" s="3"/>
      <c r="AD58" s="3"/>
    </row>
    <row r="59" spans="1:30" ht="14.4">
      <c r="A59" s="6"/>
      <c r="G59" s="3"/>
      <c r="H59" s="3"/>
      <c r="I59" s="3"/>
      <c r="J59" s="3"/>
      <c r="K59" s="3"/>
      <c r="L59" s="3"/>
      <c r="M59" s="3"/>
      <c r="N59" s="3"/>
      <c r="O59" s="3"/>
      <c r="P59" s="3"/>
      <c r="Q59" s="3"/>
      <c r="R59" s="3"/>
      <c r="S59" s="3"/>
      <c r="T59" s="3"/>
      <c r="U59" s="3"/>
      <c r="V59" s="3"/>
      <c r="W59" s="3"/>
      <c r="X59" s="3"/>
      <c r="Y59" s="3"/>
      <c r="Z59" s="3"/>
      <c r="AA59" s="3"/>
      <c r="AB59" s="3"/>
      <c r="AC59" s="3"/>
      <c r="AD59" s="3"/>
    </row>
    <row r="60" spans="1:30" ht="14.4">
      <c r="A60" s="6"/>
      <c r="G60" s="3"/>
      <c r="H60" s="3"/>
      <c r="I60" s="3"/>
      <c r="J60" s="3"/>
      <c r="K60" s="3"/>
      <c r="L60" s="3"/>
      <c r="M60" s="3"/>
      <c r="N60" s="3"/>
      <c r="O60" s="3"/>
      <c r="P60" s="3"/>
      <c r="Q60" s="3"/>
      <c r="R60" s="3"/>
      <c r="S60" s="3"/>
      <c r="T60" s="3"/>
      <c r="U60" s="3"/>
      <c r="V60" s="3"/>
      <c r="W60" s="3"/>
      <c r="X60" s="3"/>
      <c r="Y60" s="3"/>
      <c r="Z60" s="3"/>
      <c r="AA60" s="3"/>
      <c r="AB60" s="3"/>
      <c r="AC60" s="3"/>
      <c r="AD60" s="3"/>
    </row>
    <row r="61" spans="1:30" ht="14.4">
      <c r="A61" s="6"/>
      <c r="G61" s="3"/>
      <c r="H61" s="3"/>
      <c r="I61" s="3"/>
      <c r="J61" s="3"/>
      <c r="K61" s="3"/>
      <c r="L61" s="3"/>
      <c r="M61" s="3"/>
      <c r="N61" s="3"/>
      <c r="O61" s="3"/>
      <c r="P61" s="3"/>
      <c r="Q61" s="3"/>
      <c r="R61" s="3"/>
      <c r="S61" s="3"/>
      <c r="T61" s="3"/>
      <c r="U61" s="3"/>
      <c r="V61" s="3"/>
      <c r="W61" s="3"/>
      <c r="X61" s="3"/>
      <c r="Y61" s="3"/>
      <c r="Z61" s="3"/>
      <c r="AA61" s="3"/>
      <c r="AB61" s="3"/>
      <c r="AC61" s="3"/>
      <c r="AD61" s="3"/>
    </row>
    <row r="62" spans="1:30" ht="14.4">
      <c r="A62" s="6"/>
      <c r="B62" s="3"/>
      <c r="C62" s="3"/>
      <c r="D62" s="3"/>
      <c r="E62" s="7"/>
      <c r="G62" s="3"/>
      <c r="H62" s="3"/>
      <c r="I62" s="3"/>
      <c r="J62" s="3"/>
      <c r="K62" s="3"/>
      <c r="L62" s="3"/>
      <c r="M62" s="3"/>
      <c r="N62" s="3"/>
      <c r="O62" s="3"/>
      <c r="P62" s="3"/>
      <c r="Q62" s="3"/>
      <c r="R62" s="3"/>
      <c r="S62" s="3"/>
      <c r="T62" s="3"/>
      <c r="U62" s="3"/>
      <c r="V62" s="3"/>
      <c r="W62" s="3"/>
      <c r="X62" s="3"/>
      <c r="Y62" s="3"/>
      <c r="Z62" s="3"/>
      <c r="AA62" s="3"/>
      <c r="AB62" s="3"/>
      <c r="AC62" s="3"/>
      <c r="AD62" s="3"/>
    </row>
    <row r="63" spans="1:30" ht="14.4">
      <c r="A63" s="6"/>
      <c r="B63" s="3"/>
      <c r="C63" s="3"/>
      <c r="D63" s="3"/>
      <c r="E63" s="7"/>
      <c r="G63" s="3"/>
      <c r="H63" s="3"/>
      <c r="I63" s="3"/>
      <c r="J63" s="3"/>
      <c r="K63" s="3"/>
      <c r="L63" s="3"/>
      <c r="M63" s="3"/>
      <c r="N63" s="3"/>
      <c r="O63" s="3"/>
      <c r="P63" s="3"/>
      <c r="Q63" s="3"/>
      <c r="R63" s="3"/>
      <c r="S63" s="3"/>
      <c r="T63" s="3"/>
      <c r="U63" s="3"/>
      <c r="V63" s="3"/>
      <c r="W63" s="3"/>
      <c r="X63" s="3"/>
      <c r="Y63" s="3"/>
      <c r="Z63" s="3"/>
      <c r="AA63" s="3"/>
      <c r="AB63" s="3"/>
      <c r="AC63" s="3"/>
      <c r="AD63" s="3"/>
    </row>
    <row r="64" spans="1:30" ht="14.4">
      <c r="A64" s="6"/>
      <c r="B64" s="3"/>
      <c r="C64" s="3"/>
      <c r="D64" s="3"/>
      <c r="E64" s="7"/>
      <c r="G64" s="3"/>
      <c r="H64" s="3"/>
      <c r="I64" s="3"/>
      <c r="J64" s="3"/>
      <c r="K64" s="3"/>
      <c r="L64" s="3"/>
      <c r="M64" s="3"/>
      <c r="N64" s="3"/>
      <c r="O64" s="3"/>
      <c r="P64" s="3"/>
      <c r="Q64" s="3"/>
      <c r="R64" s="3"/>
      <c r="S64" s="3"/>
      <c r="T64" s="3"/>
      <c r="U64" s="3"/>
      <c r="V64" s="3"/>
      <c r="W64" s="3"/>
      <c r="X64" s="3"/>
      <c r="Y64" s="3"/>
      <c r="Z64" s="3"/>
      <c r="AA64" s="3"/>
      <c r="AB64" s="3"/>
      <c r="AC64" s="3"/>
      <c r="AD64" s="3"/>
    </row>
    <row r="65" spans="1:30" ht="14.4">
      <c r="A65" s="6"/>
      <c r="B65" s="3"/>
      <c r="C65" s="3"/>
      <c r="D65" s="3"/>
      <c r="E65" s="7"/>
      <c r="G65" s="3"/>
      <c r="H65" s="3"/>
      <c r="I65" s="3"/>
      <c r="J65" s="3"/>
      <c r="K65" s="3"/>
      <c r="L65" s="3"/>
      <c r="M65" s="3"/>
      <c r="N65" s="3"/>
      <c r="O65" s="3"/>
      <c r="P65" s="3"/>
      <c r="Q65" s="3"/>
      <c r="R65" s="3"/>
      <c r="S65" s="3"/>
      <c r="T65" s="3"/>
      <c r="U65" s="3"/>
      <c r="V65" s="3"/>
      <c r="W65" s="3"/>
      <c r="X65" s="3"/>
      <c r="Y65" s="3"/>
      <c r="Z65" s="3"/>
      <c r="AA65" s="3"/>
      <c r="AB65" s="3"/>
      <c r="AC65" s="3"/>
      <c r="AD65" s="3"/>
    </row>
    <row r="66" spans="1:30" ht="14.4">
      <c r="A66" s="6"/>
      <c r="B66" s="3"/>
      <c r="C66" s="3"/>
      <c r="D66" s="3"/>
      <c r="E66" s="7"/>
      <c r="G66" s="3"/>
      <c r="H66" s="3"/>
      <c r="I66" s="3"/>
      <c r="J66" s="3"/>
      <c r="K66" s="3"/>
      <c r="L66" s="3"/>
      <c r="M66" s="3"/>
      <c r="N66" s="3"/>
      <c r="O66" s="3"/>
      <c r="P66" s="3"/>
      <c r="Q66" s="3"/>
      <c r="R66" s="3"/>
      <c r="S66" s="3"/>
      <c r="T66" s="3"/>
      <c r="U66" s="3"/>
      <c r="V66" s="3"/>
      <c r="W66" s="3"/>
      <c r="X66" s="3"/>
      <c r="Y66" s="3"/>
      <c r="Z66" s="3"/>
      <c r="AA66" s="3"/>
      <c r="AB66" s="3"/>
      <c r="AC66" s="3"/>
      <c r="AD66" s="3"/>
    </row>
    <row r="67" spans="1:30" ht="14.4">
      <c r="A67" s="6"/>
      <c r="B67" s="3"/>
      <c r="C67" s="3"/>
      <c r="D67" s="3"/>
      <c r="E67" s="7"/>
      <c r="G67" s="3"/>
      <c r="H67" s="3"/>
      <c r="I67" s="3"/>
      <c r="J67" s="3"/>
      <c r="K67" s="3"/>
      <c r="L67" s="3"/>
      <c r="M67" s="3"/>
      <c r="N67" s="3"/>
      <c r="O67" s="3"/>
      <c r="P67" s="3"/>
      <c r="Q67" s="3"/>
      <c r="R67" s="3"/>
      <c r="S67" s="3"/>
      <c r="T67" s="3"/>
      <c r="U67" s="3"/>
      <c r="V67" s="3"/>
      <c r="W67" s="3"/>
      <c r="X67" s="3"/>
      <c r="Y67" s="3"/>
      <c r="Z67" s="3"/>
      <c r="AA67" s="3"/>
      <c r="AB67" s="3"/>
      <c r="AC67" s="3"/>
      <c r="AD67" s="3"/>
    </row>
    <row r="68" spans="1:30" ht="14.4">
      <c r="A68" s="6"/>
      <c r="B68" s="3"/>
      <c r="C68" s="3"/>
      <c r="D68" s="3"/>
      <c r="E68" s="7"/>
      <c r="G68" s="3"/>
      <c r="H68" s="3"/>
      <c r="I68" s="3"/>
      <c r="J68" s="3"/>
      <c r="K68" s="3"/>
      <c r="L68" s="3"/>
      <c r="M68" s="3"/>
      <c r="N68" s="3"/>
      <c r="O68" s="3"/>
      <c r="P68" s="3"/>
      <c r="Q68" s="3"/>
      <c r="R68" s="3"/>
      <c r="S68" s="3"/>
      <c r="T68" s="3"/>
      <c r="U68" s="3"/>
      <c r="V68" s="3"/>
      <c r="W68" s="3"/>
      <c r="X68" s="3"/>
      <c r="Y68" s="3"/>
      <c r="Z68" s="3"/>
      <c r="AA68" s="3"/>
      <c r="AB68" s="3"/>
      <c r="AC68" s="3"/>
      <c r="AD68" s="3"/>
    </row>
    <row r="69" spans="1:30" ht="14.4">
      <c r="A69" s="6"/>
      <c r="B69" s="3"/>
      <c r="C69" s="3"/>
      <c r="D69" s="3"/>
      <c r="E69" s="7"/>
      <c r="G69" s="3"/>
      <c r="H69" s="3"/>
      <c r="I69" s="3"/>
      <c r="J69" s="3"/>
      <c r="K69" s="3"/>
      <c r="L69" s="3"/>
      <c r="M69" s="3"/>
      <c r="N69" s="3"/>
      <c r="O69" s="3"/>
      <c r="P69" s="3"/>
      <c r="Q69" s="3"/>
      <c r="R69" s="3"/>
      <c r="S69" s="3"/>
      <c r="T69" s="3"/>
      <c r="U69" s="3"/>
      <c r="V69" s="3"/>
      <c r="W69" s="3"/>
      <c r="X69" s="3"/>
      <c r="Y69" s="3"/>
      <c r="Z69" s="3"/>
      <c r="AA69" s="3"/>
      <c r="AB69" s="3"/>
      <c r="AC69" s="3"/>
      <c r="AD69" s="3"/>
    </row>
    <row r="70" spans="1:30" ht="14.4">
      <c r="A70" s="6"/>
      <c r="B70" s="3"/>
      <c r="C70" s="3"/>
      <c r="D70" s="3"/>
      <c r="E70" s="7"/>
      <c r="G70" s="3"/>
      <c r="H70" s="3"/>
      <c r="I70" s="3"/>
      <c r="J70" s="3"/>
      <c r="K70" s="3"/>
      <c r="L70" s="3"/>
      <c r="M70" s="3"/>
      <c r="N70" s="3"/>
      <c r="O70" s="3"/>
      <c r="P70" s="3"/>
      <c r="Q70" s="3"/>
      <c r="R70" s="3"/>
      <c r="S70" s="3"/>
      <c r="T70" s="3"/>
      <c r="U70" s="3"/>
      <c r="V70" s="3"/>
      <c r="W70" s="3"/>
      <c r="X70" s="3"/>
      <c r="Y70" s="3"/>
      <c r="Z70" s="3"/>
      <c r="AA70" s="3"/>
      <c r="AB70" s="3"/>
      <c r="AC70" s="3"/>
      <c r="AD70" s="3"/>
    </row>
    <row r="71" spans="1:30" ht="14.4">
      <c r="A71" s="6"/>
      <c r="B71" s="3"/>
      <c r="C71" s="3"/>
      <c r="D71" s="3"/>
      <c r="E71" s="7"/>
      <c r="G71" s="3"/>
      <c r="H71" s="3"/>
      <c r="I71" s="3"/>
      <c r="J71" s="3"/>
      <c r="K71" s="3"/>
      <c r="L71" s="3"/>
      <c r="M71" s="3"/>
      <c r="N71" s="3"/>
      <c r="O71" s="3"/>
      <c r="P71" s="3"/>
      <c r="Q71" s="3"/>
      <c r="R71" s="3"/>
      <c r="S71" s="3"/>
      <c r="T71" s="3"/>
      <c r="U71" s="3"/>
      <c r="V71" s="3"/>
      <c r="W71" s="3"/>
      <c r="X71" s="3"/>
      <c r="Y71" s="3"/>
      <c r="Z71" s="3"/>
      <c r="AA71" s="3"/>
      <c r="AB71" s="3"/>
      <c r="AC71" s="3"/>
      <c r="AD71" s="3"/>
    </row>
    <row r="72" spans="1:30" ht="14.4">
      <c r="A72" s="6"/>
      <c r="B72" s="3"/>
      <c r="C72" s="3"/>
      <c r="D72" s="3"/>
      <c r="E72" s="7"/>
      <c r="G72" s="3"/>
      <c r="H72" s="3"/>
      <c r="I72" s="3"/>
      <c r="J72" s="3"/>
      <c r="K72" s="3"/>
      <c r="L72" s="3"/>
      <c r="M72" s="3"/>
      <c r="N72" s="3"/>
      <c r="O72" s="3"/>
      <c r="P72" s="3"/>
      <c r="Q72" s="3"/>
      <c r="R72" s="3"/>
      <c r="S72" s="3"/>
      <c r="T72" s="3"/>
      <c r="U72" s="3"/>
      <c r="V72" s="3"/>
      <c r="W72" s="3"/>
      <c r="X72" s="3"/>
      <c r="Y72" s="3"/>
      <c r="Z72" s="3"/>
      <c r="AA72" s="3"/>
      <c r="AB72" s="3"/>
      <c r="AC72" s="3"/>
      <c r="AD72" s="3"/>
    </row>
    <row r="73" spans="1:30" ht="14.4">
      <c r="A73" s="6"/>
      <c r="B73" s="3"/>
      <c r="C73" s="3"/>
      <c r="D73" s="3"/>
      <c r="E73" s="7"/>
      <c r="G73" s="3"/>
      <c r="H73" s="3"/>
      <c r="I73" s="3"/>
      <c r="J73" s="3"/>
      <c r="K73" s="3"/>
      <c r="L73" s="3"/>
      <c r="M73" s="3"/>
      <c r="N73" s="3"/>
      <c r="O73" s="3"/>
      <c r="P73" s="3"/>
      <c r="Q73" s="3"/>
      <c r="R73" s="3"/>
      <c r="S73" s="3"/>
      <c r="T73" s="3"/>
      <c r="U73" s="3"/>
      <c r="V73" s="3"/>
      <c r="W73" s="3"/>
      <c r="X73" s="3"/>
      <c r="Y73" s="3"/>
      <c r="Z73" s="3"/>
      <c r="AA73" s="3"/>
      <c r="AB73" s="3"/>
      <c r="AC73" s="3"/>
      <c r="AD73" s="3"/>
    </row>
    <row r="74" spans="1:30" ht="14.4">
      <c r="A74" s="6"/>
      <c r="B74" s="3"/>
      <c r="C74" s="3"/>
      <c r="D74" s="3"/>
      <c r="E74" s="7"/>
      <c r="G74" s="3"/>
      <c r="H74" s="3"/>
      <c r="I74" s="3"/>
      <c r="J74" s="3"/>
      <c r="K74" s="3"/>
      <c r="L74" s="3"/>
      <c r="M74" s="3"/>
      <c r="N74" s="3"/>
      <c r="O74" s="3"/>
      <c r="P74" s="3"/>
      <c r="Q74" s="3"/>
      <c r="R74" s="3"/>
      <c r="S74" s="3"/>
      <c r="T74" s="3"/>
      <c r="U74" s="3"/>
      <c r="V74" s="3"/>
      <c r="W74" s="3"/>
      <c r="X74" s="3"/>
      <c r="Y74" s="3"/>
      <c r="Z74" s="3"/>
      <c r="AA74" s="3"/>
      <c r="AB74" s="3"/>
      <c r="AC74" s="3"/>
      <c r="AD74" s="3"/>
    </row>
    <row r="75" spans="1:30" ht="14.4">
      <c r="A75" s="6"/>
      <c r="B75" s="3"/>
      <c r="C75" s="3"/>
      <c r="D75" s="3"/>
      <c r="E75" s="7"/>
      <c r="G75" s="3"/>
      <c r="H75" s="3"/>
      <c r="I75" s="3"/>
      <c r="J75" s="3"/>
      <c r="K75" s="3"/>
      <c r="L75" s="3"/>
      <c r="M75" s="3"/>
      <c r="N75" s="3"/>
      <c r="O75" s="3"/>
      <c r="P75" s="3"/>
      <c r="Q75" s="3"/>
      <c r="R75" s="3"/>
      <c r="S75" s="3"/>
      <c r="T75" s="3"/>
      <c r="U75" s="3"/>
      <c r="V75" s="3"/>
      <c r="W75" s="3"/>
      <c r="X75" s="3"/>
      <c r="Y75" s="3"/>
      <c r="Z75" s="3"/>
      <c r="AA75" s="3"/>
      <c r="AB75" s="3"/>
      <c r="AC75" s="3"/>
      <c r="AD75" s="3"/>
    </row>
    <row r="76" spans="1:30" ht="14.4">
      <c r="A76" s="6"/>
      <c r="B76" s="3"/>
      <c r="C76" s="3"/>
      <c r="D76" s="3"/>
      <c r="E76" s="7"/>
      <c r="G76" s="3"/>
      <c r="H76" s="3"/>
      <c r="I76" s="3"/>
      <c r="J76" s="3"/>
      <c r="K76" s="3"/>
      <c r="L76" s="3"/>
      <c r="M76" s="3"/>
      <c r="N76" s="3"/>
      <c r="O76" s="3"/>
      <c r="P76" s="3"/>
      <c r="Q76" s="3"/>
      <c r="R76" s="3"/>
      <c r="S76" s="3"/>
      <c r="T76" s="3"/>
      <c r="U76" s="3"/>
      <c r="V76" s="3"/>
      <c r="W76" s="3"/>
      <c r="X76" s="3"/>
      <c r="Y76" s="3"/>
      <c r="Z76" s="3"/>
      <c r="AA76" s="3"/>
      <c r="AB76" s="3"/>
      <c r="AC76" s="3"/>
      <c r="AD76" s="3"/>
    </row>
    <row r="77" spans="1:30" ht="14.4">
      <c r="A77" s="6"/>
      <c r="B77" s="3"/>
      <c r="C77" s="3"/>
      <c r="D77" s="3"/>
      <c r="E77" s="7"/>
      <c r="G77" s="3"/>
      <c r="H77" s="3"/>
      <c r="I77" s="3"/>
      <c r="J77" s="3"/>
      <c r="K77" s="3"/>
      <c r="L77" s="3"/>
      <c r="M77" s="3"/>
      <c r="N77" s="3"/>
      <c r="O77" s="3"/>
      <c r="P77" s="3"/>
      <c r="Q77" s="3"/>
      <c r="R77" s="3"/>
      <c r="S77" s="3"/>
      <c r="T77" s="3"/>
      <c r="U77" s="3"/>
      <c r="V77" s="3"/>
      <c r="W77" s="3"/>
      <c r="X77" s="3"/>
      <c r="Y77" s="3"/>
      <c r="Z77" s="3"/>
      <c r="AA77" s="3"/>
      <c r="AB77" s="3"/>
      <c r="AC77" s="3"/>
      <c r="AD77" s="3"/>
    </row>
    <row r="78" spans="1:30" ht="14.4">
      <c r="A78" s="6"/>
      <c r="B78" s="3"/>
      <c r="C78" s="3"/>
      <c r="D78" s="3"/>
      <c r="E78" s="7"/>
      <c r="G78" s="3"/>
      <c r="H78" s="3"/>
      <c r="I78" s="3"/>
      <c r="J78" s="3"/>
      <c r="K78" s="3"/>
      <c r="L78" s="3"/>
      <c r="M78" s="3"/>
      <c r="N78" s="3"/>
      <c r="O78" s="3"/>
      <c r="P78" s="3"/>
      <c r="Q78" s="3"/>
      <c r="R78" s="3"/>
      <c r="S78" s="3"/>
      <c r="T78" s="3"/>
      <c r="U78" s="3"/>
      <c r="V78" s="3"/>
      <c r="W78" s="3"/>
      <c r="X78" s="3"/>
      <c r="Y78" s="3"/>
      <c r="Z78" s="3"/>
      <c r="AA78" s="3"/>
      <c r="AB78" s="3"/>
      <c r="AC78" s="3"/>
      <c r="AD78" s="3"/>
    </row>
    <row r="79" spans="1:30" ht="14.4">
      <c r="A79" s="6"/>
      <c r="B79" s="3"/>
      <c r="C79" s="3"/>
      <c r="D79" s="3"/>
      <c r="E79" s="7"/>
      <c r="G79" s="3"/>
      <c r="H79" s="3"/>
      <c r="I79" s="3"/>
      <c r="J79" s="3"/>
      <c r="K79" s="3"/>
      <c r="L79" s="3"/>
      <c r="M79" s="3"/>
      <c r="N79" s="3"/>
      <c r="O79" s="3"/>
      <c r="P79" s="3"/>
      <c r="Q79" s="3"/>
      <c r="R79" s="3"/>
      <c r="S79" s="3"/>
      <c r="T79" s="3"/>
      <c r="U79" s="3"/>
      <c r="V79" s="3"/>
      <c r="W79" s="3"/>
      <c r="X79" s="3"/>
      <c r="Y79" s="3"/>
      <c r="Z79" s="3"/>
      <c r="AA79" s="3"/>
      <c r="AB79" s="3"/>
      <c r="AC79" s="3"/>
      <c r="AD79" s="3"/>
    </row>
    <row r="80" spans="1:30" ht="14.4">
      <c r="A80" s="6"/>
      <c r="B80" s="3"/>
      <c r="C80" s="3"/>
      <c r="D80" s="3"/>
      <c r="E80" s="7"/>
      <c r="G80" s="3"/>
      <c r="H80" s="3"/>
      <c r="I80" s="3"/>
      <c r="J80" s="3"/>
      <c r="K80" s="3"/>
      <c r="L80" s="3"/>
      <c r="M80" s="3"/>
      <c r="N80" s="3"/>
      <c r="O80" s="3"/>
      <c r="P80" s="3"/>
      <c r="Q80" s="3"/>
      <c r="R80" s="3"/>
      <c r="S80" s="3"/>
      <c r="T80" s="3"/>
      <c r="U80" s="3"/>
      <c r="V80" s="3"/>
      <c r="W80" s="3"/>
      <c r="X80" s="3"/>
      <c r="Y80" s="3"/>
      <c r="Z80" s="3"/>
      <c r="AA80" s="3"/>
      <c r="AB80" s="3"/>
      <c r="AC80" s="3"/>
      <c r="AD80" s="3"/>
    </row>
    <row r="81" spans="1:30" ht="14.4">
      <c r="A81" s="6"/>
      <c r="B81" s="3"/>
      <c r="C81" s="3"/>
      <c r="D81" s="3"/>
      <c r="E81" s="7"/>
      <c r="G81" s="3"/>
      <c r="H81" s="3"/>
      <c r="I81" s="3"/>
      <c r="J81" s="3"/>
      <c r="K81" s="3"/>
      <c r="L81" s="3"/>
      <c r="M81" s="3"/>
      <c r="N81" s="3"/>
      <c r="O81" s="3"/>
      <c r="P81" s="3"/>
      <c r="Q81" s="3"/>
      <c r="R81" s="3"/>
      <c r="S81" s="3"/>
      <c r="T81" s="3"/>
      <c r="U81" s="3"/>
      <c r="V81" s="3"/>
      <c r="W81" s="3"/>
      <c r="X81" s="3"/>
      <c r="Y81" s="3"/>
      <c r="Z81" s="3"/>
      <c r="AA81" s="3"/>
      <c r="AB81" s="3"/>
      <c r="AC81" s="3"/>
      <c r="AD81" s="3"/>
    </row>
    <row r="82" spans="1:30" ht="14.4">
      <c r="A82" s="6"/>
      <c r="B82" s="3"/>
      <c r="C82" s="3"/>
      <c r="D82" s="3"/>
      <c r="E82" s="7"/>
      <c r="G82" s="3"/>
      <c r="H82" s="3"/>
      <c r="I82" s="3"/>
      <c r="J82" s="3"/>
      <c r="K82" s="3"/>
      <c r="L82" s="3"/>
      <c r="M82" s="3"/>
      <c r="N82" s="3"/>
      <c r="O82" s="3"/>
      <c r="P82" s="3"/>
      <c r="Q82" s="3"/>
      <c r="R82" s="3"/>
      <c r="S82" s="3"/>
      <c r="T82" s="3"/>
      <c r="U82" s="3"/>
      <c r="V82" s="3"/>
      <c r="W82" s="3"/>
      <c r="X82" s="3"/>
      <c r="Y82" s="3"/>
      <c r="Z82" s="3"/>
      <c r="AA82" s="3"/>
      <c r="AB82" s="3"/>
      <c r="AC82" s="3"/>
      <c r="AD82" s="3"/>
    </row>
    <row r="83" spans="1:30" ht="14.4">
      <c r="A83" s="6"/>
      <c r="B83" s="3"/>
      <c r="C83" s="3"/>
      <c r="D83" s="3"/>
      <c r="E83" s="7"/>
      <c r="G83" s="3"/>
      <c r="H83" s="3"/>
      <c r="I83" s="3"/>
      <c r="J83" s="3"/>
      <c r="K83" s="3"/>
      <c r="L83" s="3"/>
      <c r="M83" s="3"/>
      <c r="N83" s="3"/>
      <c r="O83" s="3"/>
      <c r="P83" s="3"/>
      <c r="Q83" s="3"/>
      <c r="R83" s="3"/>
      <c r="S83" s="3"/>
      <c r="T83" s="3"/>
      <c r="U83" s="3"/>
      <c r="V83" s="3"/>
      <c r="W83" s="3"/>
      <c r="X83" s="3"/>
      <c r="Y83" s="3"/>
      <c r="Z83" s="3"/>
      <c r="AA83" s="3"/>
      <c r="AB83" s="3"/>
      <c r="AC83" s="3"/>
      <c r="AD83" s="3"/>
    </row>
    <row r="84" spans="1:30" ht="14.4">
      <c r="A84" s="6"/>
      <c r="B84" s="3"/>
      <c r="C84" s="3"/>
      <c r="D84" s="3"/>
      <c r="E84" s="7"/>
      <c r="G84" s="3"/>
      <c r="H84" s="3"/>
      <c r="I84" s="3"/>
      <c r="J84" s="3"/>
      <c r="K84" s="3"/>
      <c r="L84" s="3"/>
      <c r="M84" s="3"/>
      <c r="N84" s="3"/>
      <c r="O84" s="3"/>
      <c r="P84" s="3"/>
      <c r="Q84" s="3"/>
      <c r="R84" s="3"/>
      <c r="S84" s="3"/>
      <c r="T84" s="3"/>
      <c r="U84" s="3"/>
      <c r="V84" s="3"/>
      <c r="W84" s="3"/>
      <c r="X84" s="3"/>
      <c r="Y84" s="3"/>
      <c r="Z84" s="3"/>
      <c r="AA84" s="3"/>
      <c r="AB84" s="3"/>
      <c r="AC84" s="3"/>
      <c r="AD84" s="3"/>
    </row>
    <row r="85" spans="1:30" ht="14.4">
      <c r="A85" s="6"/>
      <c r="B85" s="3"/>
      <c r="C85" s="3"/>
      <c r="D85" s="3"/>
      <c r="E85" s="7"/>
      <c r="G85" s="3"/>
      <c r="H85" s="3"/>
      <c r="I85" s="3"/>
      <c r="J85" s="3"/>
      <c r="K85" s="3"/>
      <c r="L85" s="3"/>
      <c r="M85" s="3"/>
      <c r="N85" s="3"/>
      <c r="O85" s="3"/>
      <c r="P85" s="3"/>
      <c r="Q85" s="3"/>
      <c r="R85" s="3"/>
      <c r="S85" s="3"/>
      <c r="T85" s="3"/>
      <c r="U85" s="3"/>
      <c r="V85" s="3"/>
      <c r="W85" s="3"/>
      <c r="X85" s="3"/>
      <c r="Y85" s="3"/>
      <c r="Z85" s="3"/>
      <c r="AA85" s="3"/>
      <c r="AB85" s="3"/>
      <c r="AC85" s="3"/>
      <c r="AD85" s="3"/>
    </row>
    <row r="86" spans="1:30" ht="14.4">
      <c r="A86" s="6"/>
      <c r="B86" s="3"/>
      <c r="C86" s="3"/>
      <c r="D86" s="3"/>
      <c r="E86" s="7"/>
      <c r="G86" s="3"/>
      <c r="H86" s="3"/>
      <c r="I86" s="3"/>
      <c r="J86" s="3"/>
      <c r="K86" s="3"/>
      <c r="L86" s="3"/>
      <c r="M86" s="3"/>
      <c r="N86" s="3"/>
      <c r="O86" s="3"/>
      <c r="P86" s="3"/>
      <c r="Q86" s="3"/>
      <c r="R86" s="3"/>
      <c r="S86" s="3"/>
      <c r="T86" s="3"/>
      <c r="U86" s="3"/>
      <c r="V86" s="3"/>
      <c r="W86" s="3"/>
      <c r="X86" s="3"/>
      <c r="Y86" s="3"/>
      <c r="Z86" s="3"/>
      <c r="AA86" s="3"/>
      <c r="AB86" s="3"/>
      <c r="AC86" s="3"/>
      <c r="AD86" s="3"/>
    </row>
    <row r="87" spans="1:30" ht="14.4">
      <c r="A87" s="6"/>
      <c r="B87" s="3"/>
      <c r="C87" s="3"/>
      <c r="D87" s="3"/>
      <c r="E87" s="7"/>
      <c r="G87" s="3"/>
      <c r="H87" s="3"/>
      <c r="I87" s="3"/>
      <c r="J87" s="3"/>
      <c r="K87" s="3"/>
      <c r="L87" s="3"/>
      <c r="M87" s="3"/>
      <c r="N87" s="3"/>
      <c r="O87" s="3"/>
      <c r="P87" s="3"/>
      <c r="Q87" s="3"/>
      <c r="R87" s="3"/>
      <c r="S87" s="3"/>
      <c r="T87" s="3"/>
      <c r="U87" s="3"/>
      <c r="V87" s="3"/>
      <c r="W87" s="3"/>
      <c r="X87" s="3"/>
      <c r="Y87" s="3"/>
      <c r="Z87" s="3"/>
      <c r="AA87" s="3"/>
      <c r="AB87" s="3"/>
      <c r="AC87" s="3"/>
      <c r="AD87" s="3"/>
    </row>
    <row r="88" spans="1:30" ht="14.4">
      <c r="A88" s="6"/>
      <c r="B88" s="3"/>
      <c r="C88" s="3"/>
      <c r="D88" s="3"/>
      <c r="E88" s="7"/>
      <c r="G88" s="3"/>
      <c r="H88" s="3"/>
      <c r="I88" s="3"/>
      <c r="J88" s="3"/>
      <c r="K88" s="3"/>
      <c r="L88" s="3"/>
      <c r="M88" s="3"/>
      <c r="N88" s="3"/>
      <c r="O88" s="3"/>
      <c r="P88" s="3"/>
      <c r="Q88" s="3"/>
      <c r="R88" s="3"/>
      <c r="S88" s="3"/>
      <c r="T88" s="3"/>
      <c r="U88" s="3"/>
      <c r="V88" s="3"/>
      <c r="W88" s="3"/>
      <c r="X88" s="3"/>
      <c r="Y88" s="3"/>
      <c r="Z88" s="3"/>
      <c r="AA88" s="3"/>
      <c r="AB88" s="3"/>
      <c r="AC88" s="3"/>
      <c r="AD88" s="3"/>
    </row>
    <row r="89" spans="1:30" ht="14.4">
      <c r="A89" s="6"/>
      <c r="B89" s="3"/>
      <c r="C89" s="3"/>
      <c r="D89" s="3"/>
      <c r="E89" s="7"/>
      <c r="G89" s="3"/>
      <c r="H89" s="3"/>
      <c r="I89" s="3"/>
      <c r="J89" s="3"/>
      <c r="K89" s="3"/>
      <c r="L89" s="3"/>
      <c r="M89" s="3"/>
      <c r="N89" s="3"/>
      <c r="O89" s="3"/>
      <c r="P89" s="3"/>
      <c r="Q89" s="3"/>
      <c r="R89" s="3"/>
      <c r="S89" s="3"/>
      <c r="T89" s="3"/>
      <c r="U89" s="3"/>
      <c r="V89" s="3"/>
      <c r="W89" s="3"/>
      <c r="X89" s="3"/>
      <c r="Y89" s="3"/>
      <c r="Z89" s="3"/>
      <c r="AA89" s="3"/>
      <c r="AB89" s="3"/>
      <c r="AC89" s="3"/>
      <c r="AD89" s="3"/>
    </row>
    <row r="90" spans="1:30" ht="14.4">
      <c r="A90" s="6"/>
      <c r="B90" s="3"/>
      <c r="C90" s="3"/>
      <c r="D90" s="3"/>
      <c r="E90" s="7"/>
      <c r="G90" s="3"/>
      <c r="H90" s="3"/>
      <c r="I90" s="3"/>
      <c r="J90" s="3"/>
      <c r="K90" s="3"/>
      <c r="L90" s="3"/>
      <c r="M90" s="3"/>
      <c r="N90" s="3"/>
      <c r="O90" s="3"/>
      <c r="P90" s="3"/>
      <c r="Q90" s="3"/>
      <c r="R90" s="3"/>
      <c r="S90" s="3"/>
      <c r="T90" s="3"/>
      <c r="U90" s="3"/>
      <c r="V90" s="3"/>
      <c r="W90" s="3"/>
      <c r="X90" s="3"/>
      <c r="Y90" s="3"/>
      <c r="Z90" s="3"/>
      <c r="AA90" s="3"/>
      <c r="AB90" s="3"/>
      <c r="AC90" s="3"/>
      <c r="AD90" s="3"/>
    </row>
    <row r="91" spans="1:30" ht="14.4">
      <c r="A91" s="6"/>
      <c r="B91" s="3"/>
      <c r="C91" s="3"/>
      <c r="D91" s="3"/>
      <c r="E91" s="7"/>
      <c r="G91" s="3"/>
      <c r="H91" s="3"/>
      <c r="I91" s="3"/>
      <c r="J91" s="3"/>
      <c r="K91" s="3"/>
      <c r="L91" s="3"/>
      <c r="M91" s="3"/>
      <c r="N91" s="3"/>
      <c r="O91" s="3"/>
      <c r="P91" s="3"/>
      <c r="Q91" s="3"/>
      <c r="R91" s="3"/>
      <c r="S91" s="3"/>
      <c r="T91" s="3"/>
      <c r="U91" s="3"/>
      <c r="V91" s="3"/>
      <c r="W91" s="3"/>
      <c r="X91" s="3"/>
      <c r="Y91" s="3"/>
      <c r="Z91" s="3"/>
      <c r="AA91" s="3"/>
      <c r="AB91" s="3"/>
      <c r="AC91" s="3"/>
      <c r="AD91" s="3"/>
    </row>
    <row r="92" spans="1:30" ht="14.4">
      <c r="A92" s="6"/>
      <c r="B92" s="3"/>
      <c r="C92" s="3"/>
      <c r="D92" s="3"/>
      <c r="E92" s="7"/>
      <c r="G92" s="3"/>
      <c r="H92" s="3"/>
      <c r="I92" s="3"/>
      <c r="J92" s="3"/>
      <c r="K92" s="3"/>
      <c r="L92" s="3"/>
      <c r="M92" s="3"/>
      <c r="N92" s="3"/>
      <c r="O92" s="3"/>
      <c r="P92" s="3"/>
      <c r="Q92" s="3"/>
      <c r="R92" s="3"/>
      <c r="S92" s="3"/>
      <c r="T92" s="3"/>
      <c r="U92" s="3"/>
      <c r="V92" s="3"/>
      <c r="W92" s="3"/>
      <c r="X92" s="3"/>
      <c r="Y92" s="3"/>
      <c r="Z92" s="3"/>
      <c r="AA92" s="3"/>
      <c r="AB92" s="3"/>
      <c r="AC92" s="3"/>
      <c r="AD92" s="3"/>
    </row>
    <row r="93" spans="1:30" ht="14.4">
      <c r="A93" s="6"/>
      <c r="B93" s="3"/>
      <c r="C93" s="3"/>
      <c r="D93" s="3"/>
      <c r="E93" s="7"/>
      <c r="G93" s="3"/>
      <c r="H93" s="3"/>
      <c r="I93" s="3"/>
      <c r="J93" s="3"/>
      <c r="K93" s="3"/>
      <c r="L93" s="3"/>
      <c r="M93" s="3"/>
      <c r="N93" s="3"/>
      <c r="O93" s="3"/>
      <c r="P93" s="3"/>
      <c r="Q93" s="3"/>
      <c r="R93" s="3"/>
      <c r="S93" s="3"/>
      <c r="T93" s="3"/>
      <c r="U93" s="3"/>
      <c r="V93" s="3"/>
      <c r="W93" s="3"/>
      <c r="X93" s="3"/>
      <c r="Y93" s="3"/>
      <c r="Z93" s="3"/>
      <c r="AA93" s="3"/>
      <c r="AB93" s="3"/>
      <c r="AC93" s="3"/>
      <c r="AD93" s="3"/>
    </row>
    <row r="94" spans="1:30" ht="14.4">
      <c r="A94" s="6"/>
      <c r="B94" s="3"/>
      <c r="C94" s="3"/>
      <c r="D94" s="3"/>
      <c r="E94" s="7"/>
      <c r="G94" s="3"/>
      <c r="H94" s="3"/>
      <c r="I94" s="3"/>
      <c r="J94" s="3"/>
      <c r="K94" s="3"/>
      <c r="L94" s="3"/>
      <c r="M94" s="3"/>
      <c r="N94" s="3"/>
      <c r="O94" s="3"/>
      <c r="P94" s="3"/>
      <c r="Q94" s="3"/>
      <c r="R94" s="3"/>
      <c r="S94" s="3"/>
      <c r="T94" s="3"/>
      <c r="U94" s="3"/>
      <c r="V94" s="3"/>
      <c r="W94" s="3"/>
      <c r="X94" s="3"/>
      <c r="Y94" s="3"/>
      <c r="Z94" s="3"/>
      <c r="AA94" s="3"/>
      <c r="AB94" s="3"/>
      <c r="AC94" s="3"/>
      <c r="AD94" s="3"/>
    </row>
    <row r="95" spans="1:30" ht="14.4">
      <c r="A95" s="6"/>
      <c r="B95" s="3"/>
      <c r="C95" s="3"/>
      <c r="D95" s="3"/>
      <c r="E95" s="7"/>
      <c r="G95" s="3"/>
      <c r="H95" s="3"/>
      <c r="I95" s="3"/>
      <c r="J95" s="3"/>
      <c r="K95" s="3"/>
      <c r="L95" s="3"/>
      <c r="M95" s="3"/>
      <c r="N95" s="3"/>
      <c r="O95" s="3"/>
      <c r="P95" s="3"/>
      <c r="Q95" s="3"/>
      <c r="R95" s="3"/>
      <c r="S95" s="3"/>
      <c r="T95" s="3"/>
      <c r="U95" s="3"/>
      <c r="V95" s="3"/>
      <c r="W95" s="3"/>
      <c r="X95" s="3"/>
      <c r="Y95" s="3"/>
      <c r="Z95" s="3"/>
      <c r="AA95" s="3"/>
      <c r="AB95" s="3"/>
      <c r="AC95" s="3"/>
      <c r="AD95" s="3"/>
    </row>
    <row r="96" spans="1:30" ht="14.4">
      <c r="A96" s="6"/>
      <c r="B96" s="3"/>
      <c r="C96" s="3"/>
      <c r="D96" s="3"/>
      <c r="E96" s="7"/>
      <c r="G96" s="3"/>
      <c r="H96" s="3"/>
      <c r="I96" s="3"/>
      <c r="J96" s="3"/>
      <c r="K96" s="3"/>
      <c r="L96" s="3"/>
      <c r="M96" s="3"/>
      <c r="N96" s="3"/>
      <c r="O96" s="3"/>
      <c r="P96" s="3"/>
      <c r="Q96" s="3"/>
      <c r="R96" s="3"/>
      <c r="S96" s="3"/>
      <c r="T96" s="3"/>
      <c r="U96" s="3"/>
      <c r="V96" s="3"/>
      <c r="W96" s="3"/>
      <c r="X96" s="3"/>
      <c r="Y96" s="3"/>
      <c r="Z96" s="3"/>
      <c r="AA96" s="3"/>
      <c r="AB96" s="3"/>
      <c r="AC96" s="3"/>
      <c r="AD96" s="3"/>
    </row>
    <row r="97" spans="1:30" ht="14.4">
      <c r="A97" s="6"/>
      <c r="B97" s="3"/>
      <c r="C97" s="3"/>
      <c r="D97" s="3"/>
      <c r="E97" s="7"/>
      <c r="G97" s="3"/>
      <c r="H97" s="3"/>
      <c r="I97" s="3"/>
      <c r="J97" s="3"/>
      <c r="K97" s="3"/>
      <c r="L97" s="3"/>
      <c r="M97" s="3"/>
      <c r="N97" s="3"/>
      <c r="O97" s="3"/>
      <c r="P97" s="3"/>
      <c r="Q97" s="3"/>
      <c r="R97" s="3"/>
      <c r="S97" s="3"/>
      <c r="T97" s="3"/>
      <c r="U97" s="3"/>
      <c r="V97" s="3"/>
      <c r="W97" s="3"/>
      <c r="X97" s="3"/>
      <c r="Y97" s="3"/>
      <c r="Z97" s="3"/>
      <c r="AA97" s="3"/>
      <c r="AB97" s="3"/>
      <c r="AC97" s="3"/>
      <c r="AD97" s="3"/>
    </row>
    <row r="98" spans="1:30" ht="14.4">
      <c r="A98" s="6"/>
      <c r="B98" s="3"/>
      <c r="C98" s="3"/>
      <c r="D98" s="3"/>
      <c r="E98" s="7"/>
      <c r="G98" s="3"/>
      <c r="H98" s="3"/>
      <c r="I98" s="3"/>
      <c r="J98" s="3"/>
      <c r="K98" s="3"/>
      <c r="L98" s="3"/>
      <c r="M98" s="3"/>
      <c r="N98" s="3"/>
      <c r="O98" s="3"/>
      <c r="P98" s="3"/>
      <c r="Q98" s="3"/>
      <c r="R98" s="3"/>
      <c r="S98" s="3"/>
      <c r="T98" s="3"/>
      <c r="U98" s="3"/>
      <c r="V98" s="3"/>
      <c r="W98" s="3"/>
      <c r="X98" s="3"/>
      <c r="Y98" s="3"/>
      <c r="Z98" s="3"/>
      <c r="AA98" s="3"/>
      <c r="AB98" s="3"/>
      <c r="AC98" s="3"/>
      <c r="AD98" s="3"/>
    </row>
    <row r="99" spans="1:30" ht="14.4">
      <c r="A99" s="6"/>
      <c r="B99" s="3"/>
      <c r="C99" s="3"/>
      <c r="D99" s="3"/>
      <c r="E99" s="7"/>
      <c r="G99" s="3"/>
      <c r="H99" s="3"/>
      <c r="I99" s="3"/>
      <c r="J99" s="3"/>
      <c r="K99" s="3"/>
      <c r="L99" s="3"/>
      <c r="M99" s="3"/>
      <c r="N99" s="3"/>
      <c r="O99" s="3"/>
      <c r="P99" s="3"/>
      <c r="Q99" s="3"/>
      <c r="R99" s="3"/>
      <c r="S99" s="3"/>
      <c r="T99" s="3"/>
      <c r="U99" s="3"/>
      <c r="V99" s="3"/>
      <c r="W99" s="3"/>
      <c r="X99" s="3"/>
      <c r="Y99" s="3"/>
      <c r="Z99" s="3"/>
      <c r="AA99" s="3"/>
      <c r="AB99" s="3"/>
      <c r="AC99" s="3"/>
      <c r="AD99" s="3"/>
    </row>
    <row r="100" spans="1:30" ht="14.4">
      <c r="A100" s="6"/>
      <c r="B100" s="3"/>
      <c r="C100" s="3"/>
      <c r="D100" s="3"/>
      <c r="E100" s="7"/>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ht="14.4">
      <c r="A101" s="6"/>
      <c r="B101" s="3"/>
      <c r="C101" s="3"/>
      <c r="D101" s="3"/>
      <c r="E101" s="7"/>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ht="14.4">
      <c r="A102" s="6"/>
      <c r="B102" s="3"/>
      <c r="C102" s="3"/>
      <c r="D102" s="3"/>
      <c r="E102" s="7"/>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ht="14.4">
      <c r="A103" s="6"/>
      <c r="B103" s="3"/>
      <c r="C103" s="3"/>
      <c r="D103" s="3"/>
      <c r="E103" s="7"/>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ht="14.4">
      <c r="A104" s="6"/>
      <c r="B104" s="3"/>
      <c r="C104" s="3"/>
      <c r="D104" s="3"/>
      <c r="E104" s="7"/>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ht="14.4">
      <c r="A105" s="6"/>
      <c r="B105" s="3"/>
      <c r="C105" s="3"/>
      <c r="D105" s="3"/>
      <c r="E105" s="7"/>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ht="14.4">
      <c r="A106" s="6"/>
      <c r="B106" s="3"/>
      <c r="C106" s="3"/>
      <c r="D106" s="3"/>
      <c r="E106" s="7"/>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ht="14.4">
      <c r="A107" s="6"/>
      <c r="B107" s="3"/>
      <c r="C107" s="3"/>
      <c r="D107" s="3"/>
      <c r="E107" s="7"/>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4.4">
      <c r="A108" s="6"/>
      <c r="B108" s="3"/>
      <c r="C108" s="3"/>
      <c r="D108" s="3"/>
      <c r="E108" s="7"/>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4.4">
      <c r="A109" s="6"/>
      <c r="B109" s="3"/>
      <c r="C109" s="3"/>
      <c r="D109" s="3"/>
      <c r="E109" s="7"/>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4.4">
      <c r="A110" s="6"/>
      <c r="B110" s="3"/>
      <c r="C110" s="3"/>
      <c r="D110" s="3"/>
      <c r="E110" s="7"/>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4.4">
      <c r="A111" s="6"/>
      <c r="B111" s="3"/>
      <c r="C111" s="3"/>
      <c r="D111" s="3"/>
      <c r="E111" s="7"/>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4.4">
      <c r="A112" s="6"/>
      <c r="B112" s="3"/>
      <c r="C112" s="3"/>
      <c r="D112" s="3"/>
      <c r="E112" s="7"/>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4.4">
      <c r="A113" s="6"/>
      <c r="B113" s="3"/>
      <c r="C113" s="3"/>
      <c r="D113" s="3"/>
      <c r="E113" s="7"/>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4.4">
      <c r="A114" s="6"/>
      <c r="B114" s="3"/>
      <c r="C114" s="3"/>
      <c r="D114" s="3"/>
      <c r="E114" s="7"/>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4.4">
      <c r="A115" s="6"/>
      <c r="B115" s="3"/>
      <c r="C115" s="3"/>
      <c r="D115" s="3"/>
      <c r="E115" s="7"/>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4.4">
      <c r="A116" s="6"/>
      <c r="B116" s="3"/>
      <c r="C116" s="3"/>
      <c r="D116" s="3"/>
      <c r="E116" s="7"/>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4.4">
      <c r="A117" s="6"/>
      <c r="B117" s="3"/>
      <c r="C117" s="3"/>
      <c r="D117" s="3"/>
      <c r="E117" s="7"/>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4.4">
      <c r="A118" s="6"/>
      <c r="B118" s="3"/>
      <c r="C118" s="3"/>
      <c r="D118" s="3"/>
      <c r="E118" s="7"/>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4.4">
      <c r="A119" s="6"/>
      <c r="B119" s="3"/>
      <c r="C119" s="3"/>
      <c r="D119" s="3"/>
      <c r="E119" s="7"/>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4.4">
      <c r="A120" s="6"/>
      <c r="B120" s="3"/>
      <c r="C120" s="3"/>
      <c r="D120" s="3"/>
      <c r="E120" s="7"/>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4.4">
      <c r="A121" s="6"/>
      <c r="B121" s="3"/>
      <c r="C121" s="3"/>
      <c r="D121" s="3"/>
      <c r="E121" s="7"/>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4.4">
      <c r="A122" s="6"/>
      <c r="B122" s="3"/>
      <c r="C122" s="3"/>
      <c r="D122" s="3"/>
      <c r="E122" s="7"/>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4.4">
      <c r="A123" s="6"/>
      <c r="B123" s="3"/>
      <c r="C123" s="3"/>
      <c r="D123" s="3"/>
      <c r="E123" s="7"/>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4.4">
      <c r="A124" s="6"/>
      <c r="B124" s="3"/>
      <c r="C124" s="3"/>
      <c r="D124" s="3"/>
      <c r="E124" s="7"/>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4.4">
      <c r="A125" s="6"/>
      <c r="B125" s="3"/>
      <c r="C125" s="3"/>
      <c r="D125" s="3"/>
      <c r="E125" s="7"/>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4.4">
      <c r="A126" s="6"/>
      <c r="B126" s="3"/>
      <c r="C126" s="3"/>
      <c r="D126" s="3"/>
      <c r="E126" s="7"/>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4.4">
      <c r="A127" s="6"/>
      <c r="B127" s="3"/>
      <c r="C127" s="3"/>
      <c r="D127" s="3"/>
      <c r="E127" s="7"/>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4.4">
      <c r="A128" s="6"/>
      <c r="B128" s="3"/>
      <c r="C128" s="3"/>
      <c r="D128" s="3"/>
      <c r="E128" s="7"/>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4.4">
      <c r="A129" s="6"/>
      <c r="B129" s="3"/>
      <c r="C129" s="3"/>
      <c r="D129" s="3"/>
      <c r="E129" s="7"/>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4.4">
      <c r="A130" s="6"/>
      <c r="B130" s="3"/>
      <c r="C130" s="3"/>
      <c r="D130" s="3"/>
      <c r="E130" s="7"/>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4.4">
      <c r="A131" s="6"/>
      <c r="B131" s="3"/>
      <c r="C131" s="3"/>
      <c r="D131" s="3"/>
      <c r="E131" s="7"/>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4.4">
      <c r="A132" s="6"/>
      <c r="B132" s="3"/>
      <c r="C132" s="3"/>
      <c r="D132" s="3"/>
      <c r="E132" s="7"/>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4.4">
      <c r="A133" s="6"/>
      <c r="B133" s="3"/>
      <c r="C133" s="3"/>
      <c r="D133" s="3"/>
      <c r="E133" s="7"/>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4.4">
      <c r="A134" s="6"/>
      <c r="B134" s="3"/>
      <c r="C134" s="3"/>
      <c r="D134" s="3"/>
      <c r="E134" s="7"/>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4.4">
      <c r="A135" s="6"/>
      <c r="B135" s="3"/>
      <c r="C135" s="3"/>
      <c r="D135" s="3"/>
      <c r="E135" s="7"/>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4.4">
      <c r="A136" s="6"/>
      <c r="B136" s="3"/>
      <c r="C136" s="3"/>
      <c r="D136" s="3"/>
      <c r="E136" s="7"/>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4.4">
      <c r="A137" s="6"/>
      <c r="B137" s="3"/>
      <c r="C137" s="3"/>
      <c r="D137" s="3"/>
      <c r="E137" s="7"/>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4.4">
      <c r="A138" s="6"/>
      <c r="B138" s="3"/>
      <c r="C138" s="3"/>
      <c r="D138" s="3"/>
      <c r="E138" s="7"/>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4.4">
      <c r="A139" s="6"/>
      <c r="B139" s="3"/>
      <c r="C139" s="3"/>
      <c r="D139" s="3"/>
      <c r="E139" s="7"/>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4.4">
      <c r="A140" s="6"/>
      <c r="B140" s="3"/>
      <c r="C140" s="3"/>
      <c r="D140" s="3"/>
      <c r="E140" s="7"/>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4.4">
      <c r="A141" s="6"/>
      <c r="B141" s="3"/>
      <c r="C141" s="3"/>
      <c r="D141" s="3"/>
      <c r="E141" s="7"/>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4.4">
      <c r="A142" s="6"/>
      <c r="B142" s="3"/>
      <c r="C142" s="3"/>
      <c r="D142" s="3"/>
      <c r="E142" s="7"/>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4.4">
      <c r="A143" s="6"/>
      <c r="B143" s="3"/>
      <c r="C143" s="3"/>
      <c r="D143" s="3"/>
      <c r="E143" s="7"/>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4.4">
      <c r="A144" s="6"/>
      <c r="B144" s="3"/>
      <c r="C144" s="3"/>
      <c r="D144" s="3"/>
      <c r="E144" s="7"/>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4.4">
      <c r="A145" s="6"/>
      <c r="B145" s="3"/>
      <c r="C145" s="3"/>
      <c r="D145" s="3"/>
      <c r="E145" s="7"/>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4.4">
      <c r="A146" s="6"/>
      <c r="B146" s="3"/>
      <c r="C146" s="3"/>
      <c r="D146" s="3"/>
      <c r="E146" s="7"/>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4.4">
      <c r="A147" s="6"/>
      <c r="B147" s="3"/>
      <c r="C147" s="3"/>
      <c r="D147" s="3"/>
      <c r="E147" s="7"/>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4.4">
      <c r="A148" s="6"/>
      <c r="B148" s="3"/>
      <c r="C148" s="3"/>
      <c r="D148" s="3"/>
      <c r="E148" s="7"/>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4.4">
      <c r="A149" s="6"/>
      <c r="B149" s="3"/>
      <c r="C149" s="3"/>
      <c r="D149" s="3"/>
      <c r="E149" s="7"/>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4.4">
      <c r="A150" s="6"/>
      <c r="B150" s="3"/>
      <c r="C150" s="3"/>
      <c r="D150" s="3"/>
      <c r="E150" s="7"/>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4.4">
      <c r="A151" s="6"/>
      <c r="B151" s="3"/>
      <c r="C151" s="3"/>
      <c r="D151" s="3"/>
      <c r="E151" s="7"/>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4.4">
      <c r="A152" s="6"/>
      <c r="B152" s="3"/>
      <c r="C152" s="3"/>
      <c r="D152" s="3"/>
      <c r="E152" s="7"/>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4.4">
      <c r="A153" s="6"/>
      <c r="B153" s="3"/>
      <c r="C153" s="3"/>
      <c r="D153" s="3"/>
      <c r="E153" s="7"/>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4.4">
      <c r="A154" s="6"/>
      <c r="B154" s="3"/>
      <c r="C154" s="3"/>
      <c r="D154" s="3"/>
      <c r="E154" s="7"/>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4.4">
      <c r="A155" s="6"/>
      <c r="B155" s="3"/>
      <c r="C155" s="3"/>
      <c r="D155" s="3"/>
      <c r="E155" s="7"/>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4.4">
      <c r="A156" s="6"/>
      <c r="B156" s="3"/>
      <c r="C156" s="3"/>
      <c r="D156" s="3"/>
      <c r="E156" s="7"/>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4.4">
      <c r="A157" s="6"/>
      <c r="B157" s="3"/>
      <c r="C157" s="3"/>
      <c r="D157" s="3"/>
      <c r="E157" s="7"/>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4.4">
      <c r="A158" s="6"/>
      <c r="B158" s="3"/>
      <c r="C158" s="3"/>
      <c r="D158" s="3"/>
      <c r="E158" s="7"/>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4.4">
      <c r="A159" s="6"/>
      <c r="B159" s="3"/>
      <c r="C159" s="3"/>
      <c r="D159" s="3"/>
      <c r="E159" s="7"/>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4.4">
      <c r="A160" s="6"/>
      <c r="B160" s="3"/>
      <c r="C160" s="3"/>
      <c r="D160" s="3"/>
      <c r="E160" s="7"/>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4.4">
      <c r="A161" s="6"/>
      <c r="B161" s="3"/>
      <c r="C161" s="3"/>
      <c r="D161" s="3"/>
      <c r="E161" s="7"/>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4.4">
      <c r="A162" s="6"/>
      <c r="B162" s="3"/>
      <c r="C162" s="3"/>
      <c r="D162" s="3"/>
      <c r="E162" s="7"/>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4.4">
      <c r="A163" s="6"/>
      <c r="B163" s="3"/>
      <c r="C163" s="3"/>
      <c r="D163" s="3"/>
      <c r="E163" s="7"/>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4.4">
      <c r="A164" s="6"/>
      <c r="B164" s="3"/>
      <c r="C164" s="3"/>
      <c r="D164" s="3"/>
      <c r="E164" s="7"/>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4.4">
      <c r="A165" s="6"/>
      <c r="B165" s="3"/>
      <c r="C165" s="3"/>
      <c r="D165" s="3"/>
      <c r="E165" s="7"/>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4.4">
      <c r="A166" s="6"/>
      <c r="B166" s="3"/>
      <c r="C166" s="3"/>
      <c r="D166" s="3"/>
      <c r="E166" s="7"/>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4.4">
      <c r="A167" s="6"/>
      <c r="B167" s="3"/>
      <c r="C167" s="3"/>
      <c r="D167" s="3"/>
      <c r="E167" s="7"/>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4.4">
      <c r="A168" s="6"/>
      <c r="B168" s="3"/>
      <c r="C168" s="3"/>
      <c r="D168" s="3"/>
      <c r="E168" s="7"/>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4.4">
      <c r="A169" s="6"/>
      <c r="B169" s="3"/>
      <c r="C169" s="3"/>
      <c r="D169" s="3"/>
      <c r="E169" s="7"/>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4.4">
      <c r="A170" s="6"/>
      <c r="B170" s="3"/>
      <c r="C170" s="3"/>
      <c r="D170" s="3"/>
      <c r="E170" s="7"/>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4.4">
      <c r="A171" s="6"/>
      <c r="B171" s="3"/>
      <c r="C171" s="3"/>
      <c r="D171" s="3"/>
      <c r="E171" s="7"/>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4.4">
      <c r="A172" s="6"/>
      <c r="B172" s="3"/>
      <c r="C172" s="3"/>
      <c r="D172" s="3"/>
      <c r="E172" s="7"/>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4.4">
      <c r="A173" s="6"/>
      <c r="B173" s="3"/>
      <c r="C173" s="3"/>
      <c r="D173" s="3"/>
      <c r="E173" s="7"/>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4.4">
      <c r="A174" s="6"/>
      <c r="B174" s="3"/>
      <c r="C174" s="3"/>
      <c r="D174" s="3"/>
      <c r="E174" s="7"/>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4.4">
      <c r="A175" s="6"/>
      <c r="B175" s="3"/>
      <c r="C175" s="3"/>
      <c r="D175" s="3"/>
      <c r="E175" s="7"/>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4.4">
      <c r="A176" s="6"/>
      <c r="B176" s="3"/>
      <c r="C176" s="3"/>
      <c r="D176" s="3"/>
      <c r="E176" s="7"/>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4.4">
      <c r="A177" s="6"/>
      <c r="B177" s="3"/>
      <c r="C177" s="3"/>
      <c r="D177" s="3"/>
      <c r="E177" s="7"/>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4.4">
      <c r="A178" s="6"/>
      <c r="B178" s="3"/>
      <c r="C178" s="3"/>
      <c r="D178" s="3"/>
      <c r="E178" s="7"/>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4.4">
      <c r="A179" s="6"/>
      <c r="B179" s="3"/>
      <c r="C179" s="3"/>
      <c r="D179" s="3"/>
      <c r="E179" s="7"/>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4.4">
      <c r="A180" s="6"/>
      <c r="B180" s="3"/>
      <c r="C180" s="3"/>
      <c r="D180" s="3"/>
      <c r="E180" s="7"/>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4.4">
      <c r="A181" s="6"/>
      <c r="B181" s="3"/>
      <c r="C181" s="3"/>
      <c r="D181" s="3"/>
      <c r="E181" s="7"/>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4.4">
      <c r="A182" s="6"/>
      <c r="B182" s="3"/>
      <c r="C182" s="3"/>
      <c r="D182" s="3"/>
      <c r="E182" s="7"/>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4.4">
      <c r="A183" s="6"/>
      <c r="B183" s="3"/>
      <c r="C183" s="3"/>
      <c r="D183" s="3"/>
      <c r="E183" s="7"/>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4.4">
      <c r="A184" s="6"/>
      <c r="B184" s="3"/>
      <c r="C184" s="3"/>
      <c r="D184" s="3"/>
      <c r="E184" s="7"/>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4.4">
      <c r="A185" s="6"/>
      <c r="B185" s="3"/>
      <c r="C185" s="3"/>
      <c r="D185" s="3"/>
      <c r="E185" s="7"/>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4.4">
      <c r="A186" s="6"/>
      <c r="B186" s="3"/>
      <c r="C186" s="3"/>
      <c r="D186" s="3"/>
      <c r="E186" s="7"/>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4.4">
      <c r="A187" s="6"/>
      <c r="B187" s="3"/>
      <c r="C187" s="3"/>
      <c r="D187" s="3"/>
      <c r="E187" s="7"/>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4.4">
      <c r="A188" s="6"/>
      <c r="B188" s="3"/>
      <c r="C188" s="3"/>
      <c r="D188" s="3"/>
      <c r="E188" s="7"/>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4.4">
      <c r="A189" s="6"/>
      <c r="B189" s="3"/>
      <c r="C189" s="3"/>
      <c r="D189" s="3"/>
      <c r="E189" s="7"/>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4.4">
      <c r="A190" s="6"/>
      <c r="B190" s="3"/>
      <c r="C190" s="3"/>
      <c r="D190" s="3"/>
      <c r="E190" s="7"/>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4.4">
      <c r="A191" s="6"/>
      <c r="B191" s="3"/>
      <c r="C191" s="3"/>
      <c r="D191" s="3"/>
      <c r="E191" s="7"/>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4.4">
      <c r="A192" s="6"/>
      <c r="B192" s="3"/>
      <c r="C192" s="3"/>
      <c r="D192" s="3"/>
      <c r="E192" s="7"/>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4.4">
      <c r="A193" s="6"/>
      <c r="B193" s="3"/>
      <c r="C193" s="3"/>
      <c r="D193" s="3"/>
      <c r="E193" s="7"/>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4.4">
      <c r="A194" s="6"/>
      <c r="B194" s="3"/>
      <c r="C194" s="3"/>
      <c r="D194" s="3"/>
      <c r="E194" s="7"/>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4.4">
      <c r="A195" s="6"/>
      <c r="B195" s="3"/>
      <c r="C195" s="3"/>
      <c r="D195" s="3"/>
      <c r="E195" s="7"/>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4.4">
      <c r="A196" s="6"/>
      <c r="B196" s="3"/>
      <c r="C196" s="3"/>
      <c r="D196" s="3"/>
      <c r="E196" s="7"/>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4.4">
      <c r="A197" s="6"/>
      <c r="B197" s="3"/>
      <c r="C197" s="3"/>
      <c r="D197" s="3"/>
      <c r="E197" s="7"/>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4.4">
      <c r="A198" s="6"/>
      <c r="B198" s="3"/>
      <c r="C198" s="3"/>
      <c r="D198" s="3"/>
      <c r="E198" s="7"/>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4.4">
      <c r="A199" s="6"/>
      <c r="B199" s="3"/>
      <c r="C199" s="3"/>
      <c r="D199" s="3"/>
      <c r="E199" s="7"/>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4.4">
      <c r="A200" s="6"/>
      <c r="B200" s="3"/>
      <c r="C200" s="3"/>
      <c r="D200" s="3"/>
      <c r="E200" s="7"/>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4.4">
      <c r="A201" s="6"/>
      <c r="B201" s="3"/>
      <c r="C201" s="3"/>
      <c r="D201" s="3"/>
      <c r="E201" s="7"/>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4.4">
      <c r="A202" s="6"/>
      <c r="B202" s="3"/>
      <c r="C202" s="3"/>
      <c r="D202" s="3"/>
      <c r="E202" s="7"/>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4.4">
      <c r="A203" s="6"/>
      <c r="B203" s="3"/>
      <c r="C203" s="3"/>
      <c r="D203" s="3"/>
      <c r="E203" s="7"/>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4.4">
      <c r="A204" s="6"/>
      <c r="B204" s="3"/>
      <c r="C204" s="3"/>
      <c r="D204" s="3"/>
      <c r="E204" s="7"/>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4.4">
      <c r="A205" s="6"/>
      <c r="B205" s="3"/>
      <c r="C205" s="3"/>
      <c r="D205" s="3"/>
      <c r="E205" s="7"/>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4.4">
      <c r="A206" s="6"/>
      <c r="B206" s="3"/>
      <c r="C206" s="3"/>
      <c r="D206" s="3"/>
      <c r="E206" s="7"/>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4.4">
      <c r="A207" s="6"/>
      <c r="B207" s="3"/>
      <c r="C207" s="3"/>
      <c r="D207" s="3"/>
      <c r="E207" s="7"/>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4.4">
      <c r="A208" s="6"/>
      <c r="B208" s="3"/>
      <c r="C208" s="3"/>
      <c r="D208" s="3"/>
      <c r="E208" s="7"/>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4.4">
      <c r="A209" s="6"/>
      <c r="B209" s="3"/>
      <c r="C209" s="3"/>
      <c r="D209" s="3"/>
      <c r="E209" s="7"/>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4.4">
      <c r="A210" s="6"/>
      <c r="B210" s="3"/>
      <c r="C210" s="3"/>
      <c r="D210" s="3"/>
      <c r="E210" s="7"/>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4.4">
      <c r="A211" s="6"/>
      <c r="B211" s="3"/>
      <c r="C211" s="3"/>
      <c r="D211" s="3"/>
      <c r="E211" s="7"/>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4.4">
      <c r="A212" s="6"/>
      <c r="B212" s="3"/>
      <c r="C212" s="3"/>
      <c r="D212" s="3"/>
      <c r="E212" s="7"/>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4.4">
      <c r="A213" s="6"/>
      <c r="B213" s="3"/>
      <c r="C213" s="3"/>
      <c r="D213" s="3"/>
      <c r="E213" s="7"/>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4.4">
      <c r="A214" s="6"/>
      <c r="B214" s="3"/>
      <c r="C214" s="3"/>
      <c r="D214" s="3"/>
      <c r="E214" s="7"/>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4.4">
      <c r="A215" s="6"/>
      <c r="B215" s="3"/>
      <c r="C215" s="3"/>
      <c r="D215" s="3"/>
      <c r="E215" s="7"/>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4.4">
      <c r="A216" s="6"/>
      <c r="B216" s="3"/>
      <c r="C216" s="3"/>
      <c r="D216" s="3"/>
      <c r="E216" s="7"/>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4.4">
      <c r="A217" s="6"/>
      <c r="B217" s="3"/>
      <c r="C217" s="3"/>
      <c r="D217" s="3"/>
      <c r="E217" s="7"/>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4.4">
      <c r="A218" s="6"/>
      <c r="B218" s="3"/>
      <c r="C218" s="3"/>
      <c r="D218" s="3"/>
      <c r="E218" s="7"/>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4.4">
      <c r="A219" s="6"/>
      <c r="B219" s="3"/>
      <c r="C219" s="3"/>
      <c r="D219" s="3"/>
      <c r="E219" s="7"/>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4.4">
      <c r="A220" s="6"/>
      <c r="B220" s="3"/>
      <c r="C220" s="3"/>
      <c r="D220" s="3"/>
      <c r="E220" s="7"/>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4.4">
      <c r="A221" s="6"/>
      <c r="B221" s="3"/>
      <c r="C221" s="3"/>
      <c r="D221" s="3"/>
      <c r="E221" s="7"/>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4.4">
      <c r="A222" s="6"/>
      <c r="B222" s="3"/>
      <c r="C222" s="3"/>
      <c r="D222" s="3"/>
      <c r="E222" s="7"/>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4.4">
      <c r="A223" s="6"/>
      <c r="B223" s="3"/>
      <c r="C223" s="3"/>
      <c r="D223" s="3"/>
      <c r="E223" s="7"/>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4.4">
      <c r="A224" s="6"/>
      <c r="B224" s="3"/>
      <c r="C224" s="3"/>
      <c r="D224" s="3"/>
      <c r="E224" s="7"/>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4.4">
      <c r="A225" s="6"/>
      <c r="B225" s="3"/>
      <c r="C225" s="3"/>
      <c r="D225" s="3"/>
      <c r="E225" s="7"/>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4.4">
      <c r="A226" s="6"/>
      <c r="B226" s="3"/>
      <c r="C226" s="3"/>
      <c r="D226" s="3"/>
      <c r="E226" s="7"/>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4.4">
      <c r="A227" s="6"/>
      <c r="B227" s="3"/>
      <c r="C227" s="3"/>
      <c r="D227" s="3"/>
      <c r="E227" s="7"/>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4.4">
      <c r="A228" s="6"/>
      <c r="B228" s="3"/>
      <c r="C228" s="3"/>
      <c r="D228" s="3"/>
      <c r="E228" s="7"/>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4.4">
      <c r="A229" s="6"/>
      <c r="B229" s="3"/>
      <c r="C229" s="3"/>
      <c r="D229" s="3"/>
      <c r="E229" s="7"/>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4.4">
      <c r="A230" s="6"/>
      <c r="B230" s="3"/>
      <c r="C230" s="3"/>
      <c r="D230" s="3"/>
      <c r="E230" s="7"/>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4.4">
      <c r="A231" s="6"/>
      <c r="B231" s="3"/>
      <c r="C231" s="3"/>
      <c r="D231" s="3"/>
      <c r="E231" s="7"/>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4.4">
      <c r="A232" s="6"/>
      <c r="B232" s="3"/>
      <c r="C232" s="3"/>
      <c r="D232" s="3"/>
      <c r="E232" s="7"/>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4.4">
      <c r="A233" s="6"/>
      <c r="B233" s="3"/>
      <c r="C233" s="3"/>
      <c r="D233" s="3"/>
      <c r="E233" s="7"/>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4.4">
      <c r="A234" s="6"/>
      <c r="B234" s="3"/>
      <c r="C234" s="3"/>
      <c r="D234" s="3"/>
      <c r="E234" s="7"/>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4.4">
      <c r="A235" s="6"/>
      <c r="B235" s="3"/>
      <c r="C235" s="3"/>
      <c r="D235" s="3"/>
      <c r="E235" s="7"/>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4.4">
      <c r="A236" s="6"/>
      <c r="B236" s="3"/>
      <c r="C236" s="3"/>
      <c r="D236" s="3"/>
      <c r="E236" s="7"/>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4.4">
      <c r="A237" s="6"/>
      <c r="B237" s="3"/>
      <c r="C237" s="3"/>
      <c r="D237" s="3"/>
      <c r="E237" s="7"/>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4.4">
      <c r="A238" s="6"/>
      <c r="B238" s="3"/>
      <c r="C238" s="3"/>
      <c r="D238" s="3"/>
      <c r="E238" s="7"/>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4.4">
      <c r="A239" s="6"/>
      <c r="B239" s="3"/>
      <c r="C239" s="3"/>
      <c r="D239" s="3"/>
      <c r="E239" s="7"/>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4.4">
      <c r="A240" s="6"/>
      <c r="B240" s="3"/>
      <c r="C240" s="3"/>
      <c r="D240" s="3"/>
      <c r="E240" s="7"/>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4.4">
      <c r="A241" s="6"/>
      <c r="B241" s="3"/>
      <c r="C241" s="3"/>
      <c r="D241" s="3"/>
      <c r="E241" s="7"/>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4.4">
      <c r="A242" s="6"/>
      <c r="B242" s="3"/>
      <c r="C242" s="3"/>
      <c r="D242" s="3"/>
      <c r="E242" s="7"/>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4.4">
      <c r="A243" s="6"/>
      <c r="B243" s="3"/>
      <c r="C243" s="3"/>
      <c r="D243" s="3"/>
      <c r="E243" s="7"/>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4.4">
      <c r="A244" s="6"/>
      <c r="B244" s="3"/>
      <c r="C244" s="3"/>
      <c r="D244" s="3"/>
      <c r="E244" s="7"/>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4.4">
      <c r="A245" s="6"/>
      <c r="B245" s="3"/>
      <c r="C245" s="3"/>
      <c r="D245" s="3"/>
      <c r="E245" s="7"/>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4.4">
      <c r="A246" s="6"/>
      <c r="B246" s="3"/>
      <c r="C246" s="3"/>
      <c r="D246" s="3"/>
      <c r="E246" s="7"/>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4.4">
      <c r="A247" s="6"/>
      <c r="B247" s="3"/>
      <c r="C247" s="3"/>
      <c r="D247" s="3"/>
      <c r="E247" s="7"/>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4.4">
      <c r="A248" s="6"/>
      <c r="B248" s="3"/>
      <c r="C248" s="3"/>
      <c r="D248" s="3"/>
      <c r="E248" s="7"/>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4.4">
      <c r="A249" s="6"/>
      <c r="B249" s="3"/>
      <c r="C249" s="3"/>
      <c r="D249" s="3"/>
      <c r="E249" s="7"/>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4.4">
      <c r="A250" s="6"/>
      <c r="B250" s="3"/>
      <c r="C250" s="3"/>
      <c r="D250" s="3"/>
      <c r="E250" s="7"/>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4.4">
      <c r="A251" s="6"/>
      <c r="B251" s="3"/>
      <c r="C251" s="3"/>
      <c r="D251" s="3"/>
      <c r="E251" s="7"/>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4.4">
      <c r="A252" s="6"/>
      <c r="B252" s="3"/>
      <c r="C252" s="3"/>
      <c r="D252" s="3"/>
      <c r="E252" s="7"/>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4.4">
      <c r="A253" s="6"/>
      <c r="B253" s="3"/>
      <c r="C253" s="3"/>
      <c r="D253" s="3"/>
      <c r="E253" s="7"/>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4.4">
      <c r="A254" s="6"/>
      <c r="B254" s="3"/>
      <c r="C254" s="3"/>
      <c r="D254" s="3"/>
      <c r="E254" s="7"/>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4.4">
      <c r="A255" s="6"/>
      <c r="B255" s="3"/>
      <c r="C255" s="3"/>
      <c r="D255" s="3"/>
      <c r="E255" s="7"/>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4.4">
      <c r="A256" s="6"/>
      <c r="B256" s="3"/>
      <c r="C256" s="3"/>
      <c r="D256" s="3"/>
      <c r="E256" s="7"/>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4.4">
      <c r="A257" s="6"/>
      <c r="B257" s="3"/>
      <c r="C257" s="3"/>
      <c r="D257" s="3"/>
      <c r="E257" s="7"/>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4.4">
      <c r="A258" s="6"/>
      <c r="B258" s="3"/>
      <c r="C258" s="3"/>
      <c r="D258" s="3"/>
      <c r="E258" s="7"/>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4.4">
      <c r="A259" s="6"/>
      <c r="B259" s="3"/>
      <c r="C259" s="3"/>
      <c r="D259" s="3"/>
      <c r="E259" s="7"/>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4.4">
      <c r="A260" s="6"/>
      <c r="B260" s="3"/>
      <c r="C260" s="3"/>
      <c r="D260" s="3"/>
      <c r="E260" s="7"/>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4.4">
      <c r="A261" s="6"/>
      <c r="B261" s="3"/>
      <c r="C261" s="3"/>
      <c r="D261" s="3"/>
      <c r="E261" s="7"/>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4.4">
      <c r="A262" s="6"/>
      <c r="B262" s="3"/>
      <c r="C262" s="3"/>
      <c r="D262" s="3"/>
      <c r="E262" s="7"/>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4.4">
      <c r="A263" s="6"/>
      <c r="B263" s="3"/>
      <c r="C263" s="3"/>
      <c r="D263" s="3"/>
      <c r="E263" s="7"/>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4.4">
      <c r="A264" s="6"/>
      <c r="B264" s="3"/>
      <c r="C264" s="3"/>
      <c r="D264" s="3"/>
      <c r="E264" s="7"/>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4.4">
      <c r="A265" s="6"/>
      <c r="B265" s="3"/>
      <c r="C265" s="3"/>
      <c r="D265" s="3"/>
      <c r="E265" s="7"/>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4.4">
      <c r="A266" s="6"/>
      <c r="B266" s="3"/>
      <c r="C266" s="3"/>
      <c r="D266" s="3"/>
      <c r="E266" s="7"/>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4.4">
      <c r="A267" s="6"/>
      <c r="B267" s="3"/>
      <c r="C267" s="3"/>
      <c r="D267" s="3"/>
      <c r="E267" s="7"/>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4.4">
      <c r="A268" s="6"/>
      <c r="B268" s="3"/>
      <c r="C268" s="3"/>
      <c r="D268" s="3"/>
      <c r="E268" s="7"/>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4.4">
      <c r="A269" s="6"/>
      <c r="B269" s="3"/>
      <c r="C269" s="3"/>
      <c r="D269" s="3"/>
      <c r="E269" s="7"/>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4.4">
      <c r="A270" s="6"/>
      <c r="B270" s="3"/>
      <c r="C270" s="3"/>
      <c r="D270" s="3"/>
      <c r="E270" s="7"/>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4.4">
      <c r="A271" s="6"/>
      <c r="B271" s="3"/>
      <c r="C271" s="3"/>
      <c r="D271" s="3"/>
      <c r="E271" s="7"/>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4.4">
      <c r="A272" s="6"/>
      <c r="B272" s="3"/>
      <c r="C272" s="3"/>
      <c r="D272" s="3"/>
      <c r="E272" s="7"/>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4.4">
      <c r="A273" s="6"/>
      <c r="B273" s="3"/>
      <c r="C273" s="3"/>
      <c r="D273" s="3"/>
      <c r="E273" s="7"/>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4.4">
      <c r="A274" s="6"/>
      <c r="B274" s="3"/>
      <c r="C274" s="3"/>
      <c r="D274" s="3"/>
      <c r="E274" s="7"/>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4.4">
      <c r="A275" s="6"/>
      <c r="B275" s="3"/>
      <c r="C275" s="3"/>
      <c r="D275" s="3"/>
      <c r="E275" s="7"/>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4.4">
      <c r="A276" s="6"/>
      <c r="B276" s="3"/>
      <c r="C276" s="3"/>
      <c r="D276" s="3"/>
      <c r="E276" s="7"/>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4.4">
      <c r="A277" s="6"/>
      <c r="B277" s="3"/>
      <c r="C277" s="3"/>
      <c r="D277" s="3"/>
      <c r="E277" s="7"/>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4.4">
      <c r="A278" s="6"/>
      <c r="B278" s="3"/>
      <c r="C278" s="3"/>
      <c r="D278" s="3"/>
      <c r="E278" s="7"/>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4.4">
      <c r="A279" s="6"/>
      <c r="B279" s="3"/>
      <c r="C279" s="3"/>
      <c r="D279" s="3"/>
      <c r="E279" s="7"/>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4.4">
      <c r="A280" s="6"/>
      <c r="B280" s="3"/>
      <c r="C280" s="3"/>
      <c r="D280" s="3"/>
      <c r="E280" s="7"/>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4.4">
      <c r="A281" s="6"/>
      <c r="B281" s="3"/>
      <c r="C281" s="3"/>
      <c r="D281" s="3"/>
      <c r="E281" s="7"/>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4.4">
      <c r="A282" s="6"/>
      <c r="B282" s="3"/>
      <c r="C282" s="3"/>
      <c r="D282" s="3"/>
      <c r="E282" s="7"/>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4.4">
      <c r="A283" s="6"/>
      <c r="B283" s="3"/>
      <c r="C283" s="3"/>
      <c r="D283" s="3"/>
      <c r="E283" s="7"/>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4.4">
      <c r="A284" s="6"/>
      <c r="B284" s="3"/>
      <c r="C284" s="3"/>
      <c r="D284" s="3"/>
      <c r="E284" s="7"/>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4.4">
      <c r="A285" s="6"/>
      <c r="B285" s="3"/>
      <c r="C285" s="3"/>
      <c r="D285" s="3"/>
      <c r="E285" s="7"/>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4.4">
      <c r="A286" s="6"/>
      <c r="B286" s="3"/>
      <c r="C286" s="3"/>
      <c r="D286" s="3"/>
      <c r="E286" s="7"/>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4.4">
      <c r="A287" s="6"/>
      <c r="B287" s="3"/>
      <c r="C287" s="3"/>
      <c r="D287" s="3"/>
      <c r="E287" s="7"/>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4.4">
      <c r="A288" s="6"/>
      <c r="B288" s="3"/>
      <c r="C288" s="3"/>
      <c r="D288" s="3"/>
      <c r="E288" s="7"/>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4.4">
      <c r="A289" s="6"/>
      <c r="B289" s="3"/>
      <c r="C289" s="3"/>
      <c r="D289" s="3"/>
      <c r="E289" s="7"/>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4.4">
      <c r="A290" s="6"/>
      <c r="B290" s="3"/>
      <c r="C290" s="3"/>
      <c r="D290" s="3"/>
      <c r="E290" s="7"/>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4.4">
      <c r="A291" s="6"/>
      <c r="B291" s="3"/>
      <c r="C291" s="3"/>
      <c r="D291" s="3"/>
      <c r="E291" s="7"/>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4.4">
      <c r="A292" s="6"/>
      <c r="B292" s="3"/>
      <c r="C292" s="3"/>
      <c r="D292" s="3"/>
      <c r="E292" s="7"/>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4.4">
      <c r="A293" s="6"/>
      <c r="B293" s="3"/>
      <c r="C293" s="3"/>
      <c r="D293" s="3"/>
      <c r="E293" s="7"/>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4.4">
      <c r="A294" s="6"/>
      <c r="B294" s="3"/>
      <c r="C294" s="3"/>
      <c r="D294" s="3"/>
      <c r="E294" s="7"/>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4.4">
      <c r="A295" s="6"/>
      <c r="B295" s="3"/>
      <c r="C295" s="3"/>
      <c r="D295" s="3"/>
      <c r="E295" s="7"/>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4.4">
      <c r="A296" s="6"/>
      <c r="B296" s="3"/>
      <c r="C296" s="3"/>
      <c r="D296" s="3"/>
      <c r="E296" s="7"/>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4.4">
      <c r="A297" s="6"/>
      <c r="B297" s="3"/>
      <c r="C297" s="3"/>
      <c r="D297" s="3"/>
      <c r="E297" s="7"/>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4.4">
      <c r="A298" s="6"/>
      <c r="B298" s="3"/>
      <c r="C298" s="3"/>
      <c r="D298" s="3"/>
      <c r="E298" s="7"/>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4.4">
      <c r="A299" s="6"/>
      <c r="B299" s="3"/>
      <c r="C299" s="3"/>
      <c r="D299" s="3"/>
      <c r="E299" s="7"/>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4.4">
      <c r="A300" s="6"/>
      <c r="B300" s="3"/>
      <c r="C300" s="3"/>
      <c r="D300" s="3"/>
      <c r="E300" s="7"/>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4.4">
      <c r="A301" s="6"/>
      <c r="B301" s="3"/>
      <c r="C301" s="3"/>
      <c r="D301" s="3"/>
      <c r="E301" s="7"/>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4.4">
      <c r="A302" s="6"/>
      <c r="B302" s="3"/>
      <c r="C302" s="3"/>
      <c r="D302" s="3"/>
      <c r="E302" s="7"/>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4.4">
      <c r="A303" s="6"/>
      <c r="B303" s="3"/>
      <c r="C303" s="3"/>
      <c r="D303" s="3"/>
      <c r="E303" s="7"/>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4.4">
      <c r="A304" s="6"/>
      <c r="B304" s="3"/>
      <c r="C304" s="3"/>
      <c r="D304" s="3"/>
      <c r="E304" s="7"/>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4.4">
      <c r="A305" s="6"/>
      <c r="B305" s="3"/>
      <c r="C305" s="3"/>
      <c r="D305" s="3"/>
      <c r="E305" s="7"/>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4.4">
      <c r="A306" s="6"/>
      <c r="B306" s="3"/>
      <c r="C306" s="3"/>
      <c r="D306" s="3"/>
      <c r="E306" s="7"/>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4.4">
      <c r="A307" s="6"/>
      <c r="B307" s="3"/>
      <c r="C307" s="3"/>
      <c r="D307" s="3"/>
      <c r="E307" s="7"/>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4.4">
      <c r="A308" s="6"/>
      <c r="B308" s="3"/>
      <c r="C308" s="3"/>
      <c r="D308" s="3"/>
      <c r="E308" s="7"/>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4.4">
      <c r="A309" s="6"/>
      <c r="B309" s="3"/>
      <c r="C309" s="3"/>
      <c r="D309" s="3"/>
      <c r="E309" s="7"/>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4.4">
      <c r="A310" s="6"/>
      <c r="B310" s="3"/>
      <c r="C310" s="3"/>
      <c r="D310" s="3"/>
      <c r="E310" s="7"/>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4.4">
      <c r="A311" s="6"/>
      <c r="B311" s="3"/>
      <c r="C311" s="3"/>
      <c r="D311" s="3"/>
      <c r="E311" s="7"/>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4.4">
      <c r="A312" s="6"/>
      <c r="B312" s="3"/>
      <c r="C312" s="3"/>
      <c r="D312" s="3"/>
      <c r="E312" s="7"/>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4.4">
      <c r="A313" s="6"/>
      <c r="B313" s="3"/>
      <c r="C313" s="3"/>
      <c r="D313" s="3"/>
      <c r="E313" s="7"/>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4.4">
      <c r="A314" s="6"/>
      <c r="B314" s="3"/>
      <c r="C314" s="3"/>
      <c r="D314" s="3"/>
      <c r="E314" s="7"/>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4.4">
      <c r="A315" s="6"/>
      <c r="B315" s="3"/>
      <c r="C315" s="3"/>
      <c r="D315" s="3"/>
      <c r="E315" s="7"/>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4.4">
      <c r="A316" s="6"/>
      <c r="B316" s="3"/>
      <c r="C316" s="3"/>
      <c r="D316" s="3"/>
      <c r="E316" s="7"/>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4.4">
      <c r="A317" s="6"/>
      <c r="B317" s="3"/>
      <c r="C317" s="3"/>
      <c r="D317" s="3"/>
      <c r="E317" s="7"/>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4.4">
      <c r="A318" s="6"/>
      <c r="B318" s="3"/>
      <c r="C318" s="3"/>
      <c r="D318" s="3"/>
      <c r="E318" s="7"/>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4.4">
      <c r="A319" s="6"/>
      <c r="B319" s="3"/>
      <c r="C319" s="3"/>
      <c r="D319" s="3"/>
      <c r="E319" s="7"/>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4.4">
      <c r="A320" s="6"/>
      <c r="B320" s="3"/>
      <c r="C320" s="3"/>
      <c r="D320" s="3"/>
      <c r="E320" s="7"/>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4.4">
      <c r="A321" s="6"/>
      <c r="B321" s="3"/>
      <c r="C321" s="3"/>
      <c r="D321" s="3"/>
      <c r="E321" s="7"/>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4.4">
      <c r="A322" s="6"/>
      <c r="B322" s="3"/>
      <c r="C322" s="3"/>
      <c r="D322" s="3"/>
      <c r="E322" s="7"/>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4.4">
      <c r="A323" s="6"/>
      <c r="B323" s="3"/>
      <c r="C323" s="3"/>
      <c r="D323" s="3"/>
      <c r="E323" s="7"/>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4.4">
      <c r="A324" s="6"/>
      <c r="B324" s="3"/>
      <c r="C324" s="3"/>
      <c r="D324" s="3"/>
      <c r="E324" s="7"/>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4.4">
      <c r="A325" s="6"/>
      <c r="B325" s="3"/>
      <c r="C325" s="3"/>
      <c r="D325" s="3"/>
      <c r="E325" s="7"/>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4.4">
      <c r="A326" s="6"/>
      <c r="B326" s="3"/>
      <c r="C326" s="3"/>
      <c r="D326" s="3"/>
      <c r="E326" s="7"/>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4.4">
      <c r="A327" s="6"/>
      <c r="B327" s="3"/>
      <c r="C327" s="3"/>
      <c r="D327" s="3"/>
      <c r="E327" s="7"/>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4.4">
      <c r="A328" s="6"/>
      <c r="B328" s="3"/>
      <c r="C328" s="3"/>
      <c r="D328" s="3"/>
      <c r="E328" s="7"/>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4.4">
      <c r="A329" s="6"/>
      <c r="B329" s="3"/>
      <c r="C329" s="3"/>
      <c r="D329" s="3"/>
      <c r="E329" s="7"/>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4.4">
      <c r="A330" s="6"/>
      <c r="B330" s="3"/>
      <c r="C330" s="3"/>
      <c r="D330" s="3"/>
      <c r="E330" s="7"/>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4.4">
      <c r="A331" s="6"/>
      <c r="B331" s="3"/>
      <c r="C331" s="3"/>
      <c r="D331" s="3"/>
      <c r="E331" s="7"/>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4.4">
      <c r="A332" s="6"/>
      <c r="B332" s="3"/>
      <c r="C332" s="3"/>
      <c r="D332" s="3"/>
      <c r="E332" s="7"/>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4.4">
      <c r="A333" s="6"/>
      <c r="B333" s="3"/>
      <c r="C333" s="3"/>
      <c r="D333" s="3"/>
      <c r="E333" s="7"/>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4.4">
      <c r="A334" s="6"/>
      <c r="B334" s="3"/>
      <c r="C334" s="3"/>
      <c r="D334" s="3"/>
      <c r="E334" s="7"/>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4.4">
      <c r="A335" s="6"/>
      <c r="B335" s="3"/>
      <c r="C335" s="3"/>
      <c r="D335" s="3"/>
      <c r="E335" s="7"/>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4.4">
      <c r="A336" s="6"/>
      <c r="B336" s="3"/>
      <c r="C336" s="3"/>
      <c r="D336" s="3"/>
      <c r="E336" s="7"/>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4.4">
      <c r="A337" s="6"/>
      <c r="B337" s="3"/>
      <c r="C337" s="3"/>
      <c r="D337" s="3"/>
      <c r="E337" s="7"/>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4.4">
      <c r="A338" s="6"/>
      <c r="B338" s="3"/>
      <c r="C338" s="3"/>
      <c r="D338" s="3"/>
      <c r="E338" s="7"/>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4.4">
      <c r="A339" s="6"/>
      <c r="B339" s="3"/>
      <c r="C339" s="3"/>
      <c r="D339" s="3"/>
      <c r="E339" s="7"/>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4.4">
      <c r="A340" s="6"/>
      <c r="B340" s="3"/>
      <c r="C340" s="3"/>
      <c r="D340" s="3"/>
      <c r="E340" s="7"/>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4.4">
      <c r="A341" s="6"/>
      <c r="B341" s="3"/>
      <c r="C341" s="3"/>
      <c r="D341" s="3"/>
      <c r="E341" s="7"/>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4.4">
      <c r="A342" s="6"/>
      <c r="B342" s="3"/>
      <c r="C342" s="3"/>
      <c r="D342" s="3"/>
      <c r="E342" s="7"/>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4.4">
      <c r="A343" s="6"/>
      <c r="B343" s="3"/>
      <c r="C343" s="3"/>
      <c r="D343" s="3"/>
      <c r="E343" s="7"/>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4.4">
      <c r="A344" s="6"/>
      <c r="B344" s="3"/>
      <c r="C344" s="3"/>
      <c r="D344" s="3"/>
      <c r="E344" s="7"/>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4.4">
      <c r="A345" s="6"/>
      <c r="B345" s="3"/>
      <c r="C345" s="3"/>
      <c r="D345" s="3"/>
      <c r="E345" s="7"/>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4.4">
      <c r="A346" s="6"/>
      <c r="B346" s="3"/>
      <c r="C346" s="3"/>
      <c r="D346" s="3"/>
      <c r="E346" s="7"/>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4.4">
      <c r="A347" s="6"/>
      <c r="B347" s="3"/>
      <c r="C347" s="3"/>
      <c r="D347" s="3"/>
      <c r="E347" s="7"/>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4.4">
      <c r="A348" s="6"/>
      <c r="B348" s="3"/>
      <c r="C348" s="3"/>
      <c r="D348" s="3"/>
      <c r="E348" s="7"/>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4.4">
      <c r="A349" s="6"/>
      <c r="B349" s="3"/>
      <c r="C349" s="3"/>
      <c r="D349" s="3"/>
      <c r="E349" s="7"/>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4.4">
      <c r="A350" s="6"/>
      <c r="B350" s="3"/>
      <c r="C350" s="3"/>
      <c r="D350" s="3"/>
      <c r="E350" s="7"/>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4.4">
      <c r="A351" s="6"/>
      <c r="B351" s="3"/>
      <c r="C351" s="3"/>
      <c r="D351" s="3"/>
      <c r="E351" s="7"/>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4.4">
      <c r="A352" s="6"/>
      <c r="B352" s="3"/>
      <c r="C352" s="3"/>
      <c r="D352" s="3"/>
      <c r="E352" s="7"/>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4.4">
      <c r="A353" s="6"/>
      <c r="B353" s="3"/>
      <c r="C353" s="3"/>
      <c r="D353" s="3"/>
      <c r="E353" s="7"/>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4.4">
      <c r="A354" s="6"/>
      <c r="B354" s="3"/>
      <c r="C354" s="3"/>
      <c r="D354" s="3"/>
      <c r="E354" s="7"/>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4.4">
      <c r="A355" s="6"/>
      <c r="B355" s="3"/>
      <c r="C355" s="3"/>
      <c r="D355" s="3"/>
      <c r="E355" s="7"/>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4.4">
      <c r="A356" s="6"/>
      <c r="B356" s="3"/>
      <c r="C356" s="3"/>
      <c r="D356" s="3"/>
      <c r="E356" s="7"/>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4.4">
      <c r="A357" s="6"/>
      <c r="B357" s="3"/>
      <c r="C357" s="3"/>
      <c r="D357" s="3"/>
      <c r="E357" s="7"/>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4.4">
      <c r="A358" s="6"/>
      <c r="B358" s="3"/>
      <c r="C358" s="3"/>
      <c r="D358" s="3"/>
      <c r="E358" s="7"/>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4.4">
      <c r="A359" s="6"/>
      <c r="B359" s="3"/>
      <c r="C359" s="3"/>
      <c r="D359" s="3"/>
      <c r="E359" s="7"/>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4.4">
      <c r="A360" s="6"/>
      <c r="B360" s="3"/>
      <c r="C360" s="3"/>
      <c r="D360" s="3"/>
      <c r="E360" s="7"/>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4.4">
      <c r="A361" s="6"/>
      <c r="B361" s="3"/>
      <c r="C361" s="3"/>
      <c r="D361" s="3"/>
      <c r="E361" s="7"/>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4.4">
      <c r="A362" s="6"/>
      <c r="B362" s="3"/>
      <c r="C362" s="3"/>
      <c r="D362" s="3"/>
      <c r="E362" s="7"/>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4.4">
      <c r="A363" s="6"/>
      <c r="B363" s="3"/>
      <c r="C363" s="3"/>
      <c r="D363" s="3"/>
      <c r="E363" s="7"/>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4.4">
      <c r="A364" s="6"/>
      <c r="B364" s="3"/>
      <c r="C364" s="3"/>
      <c r="D364" s="3"/>
      <c r="E364" s="7"/>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4.4">
      <c r="A365" s="6"/>
      <c r="B365" s="3"/>
      <c r="C365" s="3"/>
      <c r="D365" s="3"/>
      <c r="E365" s="7"/>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4.4">
      <c r="A366" s="6"/>
      <c r="B366" s="3"/>
      <c r="C366" s="3"/>
      <c r="D366" s="3"/>
      <c r="E366" s="7"/>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4.4">
      <c r="A367" s="6"/>
      <c r="B367" s="3"/>
      <c r="C367" s="3"/>
      <c r="D367" s="3"/>
      <c r="E367" s="7"/>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4.4">
      <c r="A368" s="6"/>
      <c r="B368" s="3"/>
      <c r="C368" s="3"/>
      <c r="D368" s="3"/>
      <c r="E368" s="7"/>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4.4">
      <c r="A369" s="6"/>
      <c r="B369" s="3"/>
      <c r="C369" s="3"/>
      <c r="D369" s="3"/>
      <c r="E369" s="7"/>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4.4">
      <c r="A370" s="6"/>
      <c r="B370" s="3"/>
      <c r="C370" s="3"/>
      <c r="D370" s="3"/>
      <c r="E370" s="7"/>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4.4">
      <c r="A371" s="6"/>
      <c r="B371" s="3"/>
      <c r="C371" s="3"/>
      <c r="D371" s="3"/>
      <c r="E371" s="7"/>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4.4">
      <c r="A372" s="6"/>
      <c r="B372" s="3"/>
      <c r="C372" s="3"/>
      <c r="D372" s="3"/>
      <c r="E372" s="7"/>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4.4">
      <c r="A373" s="6"/>
      <c r="B373" s="3"/>
      <c r="C373" s="3"/>
      <c r="D373" s="3"/>
      <c r="E373" s="7"/>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4.4">
      <c r="A374" s="6"/>
      <c r="B374" s="3"/>
      <c r="C374" s="3"/>
      <c r="D374" s="3"/>
      <c r="E374" s="7"/>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4.4">
      <c r="A375" s="6"/>
      <c r="B375" s="3"/>
      <c r="C375" s="3"/>
      <c r="D375" s="3"/>
      <c r="E375" s="7"/>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4.4">
      <c r="A376" s="6"/>
      <c r="B376" s="3"/>
      <c r="C376" s="3"/>
      <c r="D376" s="3"/>
      <c r="E376" s="7"/>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4.4">
      <c r="A377" s="6"/>
      <c r="B377" s="3"/>
      <c r="C377" s="3"/>
      <c r="D377" s="3"/>
      <c r="E377" s="7"/>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4.4">
      <c r="A378" s="6"/>
      <c r="B378" s="3"/>
      <c r="C378" s="3"/>
      <c r="D378" s="3"/>
      <c r="E378" s="7"/>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4.4">
      <c r="A379" s="6"/>
      <c r="B379" s="3"/>
      <c r="C379" s="3"/>
      <c r="D379" s="3"/>
      <c r="E379" s="7"/>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4.4">
      <c r="A380" s="6"/>
      <c r="B380" s="3"/>
      <c r="C380" s="3"/>
      <c r="D380" s="3"/>
      <c r="E380" s="7"/>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4.4">
      <c r="A381" s="6"/>
      <c r="B381" s="3"/>
      <c r="C381" s="3"/>
      <c r="D381" s="3"/>
      <c r="E381" s="7"/>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4.4">
      <c r="A382" s="6"/>
      <c r="B382" s="3"/>
      <c r="C382" s="3"/>
      <c r="D382" s="3"/>
      <c r="E382" s="7"/>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4.4">
      <c r="A383" s="6"/>
      <c r="B383" s="3"/>
      <c r="C383" s="3"/>
      <c r="D383" s="3"/>
      <c r="E383" s="7"/>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4.4">
      <c r="A384" s="6"/>
      <c r="B384" s="3"/>
      <c r="C384" s="3"/>
      <c r="D384" s="3"/>
      <c r="E384" s="7"/>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4.4">
      <c r="A385" s="6"/>
      <c r="B385" s="3"/>
      <c r="C385" s="3"/>
      <c r="D385" s="3"/>
      <c r="E385" s="7"/>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4.4">
      <c r="A386" s="6"/>
      <c r="B386" s="3"/>
      <c r="C386" s="3"/>
      <c r="D386" s="3"/>
      <c r="E386" s="7"/>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4.4">
      <c r="A387" s="6"/>
      <c r="B387" s="3"/>
      <c r="C387" s="3"/>
      <c r="D387" s="3"/>
      <c r="E387" s="7"/>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4.4">
      <c r="A388" s="6"/>
      <c r="B388" s="3"/>
      <c r="C388" s="3"/>
      <c r="D388" s="3"/>
      <c r="E388" s="7"/>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4.4">
      <c r="A389" s="6"/>
      <c r="B389" s="3"/>
      <c r="C389" s="3"/>
      <c r="D389" s="3"/>
      <c r="E389" s="7"/>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4.4">
      <c r="A390" s="6"/>
      <c r="B390" s="3"/>
      <c r="C390" s="3"/>
      <c r="D390" s="3"/>
      <c r="E390" s="7"/>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4.4">
      <c r="A391" s="6"/>
      <c r="B391" s="3"/>
      <c r="C391" s="3"/>
      <c r="D391" s="3"/>
      <c r="E391" s="7"/>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4.4">
      <c r="A392" s="6"/>
      <c r="B392" s="3"/>
      <c r="C392" s="3"/>
      <c r="D392" s="3"/>
      <c r="E392" s="7"/>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4.4">
      <c r="A393" s="6"/>
      <c r="B393" s="3"/>
      <c r="C393" s="3"/>
      <c r="D393" s="3"/>
      <c r="E393" s="7"/>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4.4">
      <c r="A394" s="6"/>
      <c r="B394" s="3"/>
      <c r="C394" s="3"/>
      <c r="D394" s="3"/>
      <c r="E394" s="7"/>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4.4">
      <c r="A395" s="6"/>
      <c r="B395" s="3"/>
      <c r="C395" s="3"/>
      <c r="D395" s="3"/>
      <c r="E395" s="7"/>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4.4">
      <c r="A396" s="6"/>
      <c r="B396" s="3"/>
      <c r="C396" s="3"/>
      <c r="D396" s="3"/>
      <c r="E396" s="7"/>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4.4">
      <c r="A397" s="6"/>
      <c r="B397" s="3"/>
      <c r="C397" s="3"/>
      <c r="D397" s="3"/>
      <c r="E397" s="7"/>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4.4">
      <c r="A398" s="6"/>
      <c r="B398" s="3"/>
      <c r="C398" s="3"/>
      <c r="D398" s="3"/>
      <c r="E398" s="7"/>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4.4">
      <c r="A399" s="6"/>
      <c r="B399" s="3"/>
      <c r="C399" s="3"/>
      <c r="D399" s="3"/>
      <c r="E399" s="7"/>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4.4">
      <c r="A400" s="6"/>
      <c r="B400" s="3"/>
      <c r="C400" s="3"/>
      <c r="D400" s="3"/>
      <c r="E400" s="7"/>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4.4">
      <c r="A401" s="6"/>
      <c r="B401" s="3"/>
      <c r="C401" s="3"/>
      <c r="D401" s="3"/>
      <c r="E401" s="7"/>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4.4">
      <c r="A402" s="6"/>
      <c r="B402" s="3"/>
      <c r="C402" s="3"/>
      <c r="D402" s="3"/>
      <c r="E402" s="7"/>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4.4">
      <c r="A403" s="6"/>
      <c r="B403" s="3"/>
      <c r="C403" s="3"/>
      <c r="D403" s="3"/>
      <c r="E403" s="7"/>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4.4">
      <c r="A404" s="6"/>
      <c r="B404" s="3"/>
      <c r="C404" s="3"/>
      <c r="D404" s="3"/>
      <c r="E404" s="7"/>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4.4">
      <c r="A405" s="6"/>
      <c r="B405" s="3"/>
      <c r="C405" s="3"/>
      <c r="D405" s="3"/>
      <c r="E405" s="7"/>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4.4">
      <c r="A406" s="6"/>
      <c r="B406" s="3"/>
      <c r="C406" s="3"/>
      <c r="D406" s="3"/>
      <c r="E406" s="7"/>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4.4">
      <c r="A407" s="6"/>
      <c r="B407" s="3"/>
      <c r="C407" s="3"/>
      <c r="D407" s="3"/>
      <c r="E407" s="7"/>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4.4">
      <c r="A408" s="6"/>
      <c r="B408" s="3"/>
      <c r="C408" s="3"/>
      <c r="D408" s="3"/>
      <c r="E408" s="7"/>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4.4">
      <c r="A409" s="6"/>
      <c r="B409" s="3"/>
      <c r="C409" s="3"/>
      <c r="D409" s="3"/>
      <c r="E409" s="7"/>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4.4">
      <c r="A410" s="6"/>
      <c r="B410" s="3"/>
      <c r="C410" s="3"/>
      <c r="D410" s="3"/>
      <c r="E410" s="7"/>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4.4">
      <c r="A411" s="6"/>
      <c r="B411" s="3"/>
      <c r="C411" s="3"/>
      <c r="D411" s="3"/>
      <c r="E411" s="7"/>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4.4">
      <c r="A412" s="6"/>
      <c r="B412" s="3"/>
      <c r="C412" s="3"/>
      <c r="D412" s="3"/>
      <c r="E412" s="7"/>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4.4">
      <c r="A413" s="6"/>
      <c r="B413" s="3"/>
      <c r="C413" s="3"/>
      <c r="D413" s="3"/>
      <c r="E413" s="7"/>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4.4">
      <c r="A414" s="6"/>
      <c r="B414" s="3"/>
      <c r="C414" s="3"/>
      <c r="D414" s="3"/>
      <c r="E414" s="7"/>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4.4">
      <c r="A415" s="6"/>
      <c r="B415" s="3"/>
      <c r="C415" s="3"/>
      <c r="D415" s="3"/>
      <c r="E415" s="7"/>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4.4">
      <c r="A416" s="6"/>
      <c r="B416" s="3"/>
      <c r="C416" s="3"/>
      <c r="D416" s="3"/>
      <c r="E416" s="7"/>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4.4">
      <c r="A417" s="6"/>
      <c r="B417" s="3"/>
      <c r="C417" s="3"/>
      <c r="D417" s="3"/>
      <c r="E417" s="7"/>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4.4">
      <c r="A418" s="6"/>
      <c r="B418" s="3"/>
      <c r="C418" s="3"/>
      <c r="D418" s="3"/>
      <c r="E418" s="7"/>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4.4">
      <c r="A419" s="6"/>
      <c r="B419" s="3"/>
      <c r="C419" s="3"/>
      <c r="D419" s="3"/>
      <c r="E419" s="7"/>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4.4">
      <c r="A420" s="6"/>
      <c r="B420" s="3"/>
      <c r="C420" s="3"/>
      <c r="D420" s="3"/>
      <c r="E420" s="7"/>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4.4">
      <c r="A421" s="6"/>
      <c r="B421" s="3"/>
      <c r="C421" s="3"/>
      <c r="D421" s="3"/>
      <c r="E421" s="7"/>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4.4">
      <c r="A422" s="6"/>
      <c r="B422" s="3"/>
      <c r="C422" s="3"/>
      <c r="D422" s="3"/>
      <c r="E422" s="7"/>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4.4">
      <c r="A423" s="6"/>
      <c r="B423" s="3"/>
      <c r="C423" s="3"/>
      <c r="D423" s="3"/>
      <c r="E423" s="7"/>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4.4">
      <c r="A424" s="6"/>
      <c r="B424" s="3"/>
      <c r="C424" s="3"/>
      <c r="D424" s="3"/>
      <c r="E424" s="7"/>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4.4">
      <c r="A425" s="6"/>
      <c r="B425" s="3"/>
      <c r="C425" s="3"/>
      <c r="D425" s="3"/>
      <c r="E425" s="7"/>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4.4">
      <c r="A426" s="6"/>
      <c r="B426" s="3"/>
      <c r="C426" s="3"/>
      <c r="D426" s="3"/>
      <c r="E426" s="7"/>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4.4">
      <c r="A427" s="6"/>
      <c r="B427" s="3"/>
      <c r="C427" s="3"/>
      <c r="D427" s="3"/>
      <c r="E427" s="7"/>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4.4">
      <c r="A428" s="6"/>
      <c r="B428" s="3"/>
      <c r="C428" s="3"/>
      <c r="D428" s="3"/>
      <c r="E428" s="7"/>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4.4">
      <c r="A429" s="6"/>
      <c r="B429" s="3"/>
      <c r="C429" s="3"/>
      <c r="D429" s="3"/>
      <c r="E429" s="7"/>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4.4">
      <c r="A430" s="6"/>
      <c r="B430" s="3"/>
      <c r="C430" s="3"/>
      <c r="D430" s="3"/>
      <c r="E430" s="7"/>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4.4">
      <c r="A431" s="6"/>
      <c r="B431" s="3"/>
      <c r="C431" s="3"/>
      <c r="D431" s="3"/>
      <c r="E431" s="7"/>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4.4">
      <c r="A432" s="6"/>
      <c r="B432" s="3"/>
      <c r="C432" s="3"/>
      <c r="D432" s="3"/>
      <c r="E432" s="7"/>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4.4">
      <c r="A433" s="6"/>
      <c r="B433" s="3"/>
      <c r="C433" s="3"/>
      <c r="D433" s="3"/>
      <c r="E433" s="7"/>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4.4">
      <c r="A434" s="6"/>
      <c r="B434" s="3"/>
      <c r="C434" s="3"/>
      <c r="D434" s="3"/>
      <c r="E434" s="7"/>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4.4">
      <c r="A435" s="6"/>
      <c r="B435" s="3"/>
      <c r="C435" s="3"/>
      <c r="D435" s="3"/>
      <c r="E435" s="7"/>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4.4">
      <c r="A436" s="6"/>
      <c r="B436" s="3"/>
      <c r="C436" s="3"/>
      <c r="D436" s="3"/>
      <c r="E436" s="7"/>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4.4">
      <c r="A437" s="6"/>
      <c r="B437" s="3"/>
      <c r="C437" s="3"/>
      <c r="D437" s="3"/>
      <c r="E437" s="7"/>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4.4">
      <c r="A438" s="6"/>
      <c r="B438" s="3"/>
      <c r="C438" s="3"/>
      <c r="D438" s="3"/>
      <c r="E438" s="7"/>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4.4">
      <c r="A439" s="6"/>
      <c r="B439" s="3"/>
      <c r="C439" s="3"/>
      <c r="D439" s="3"/>
      <c r="E439" s="7"/>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4.4">
      <c r="A440" s="6"/>
      <c r="B440" s="3"/>
      <c r="C440" s="3"/>
      <c r="D440" s="3"/>
      <c r="E440" s="7"/>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4.4">
      <c r="A441" s="6"/>
      <c r="B441" s="3"/>
      <c r="C441" s="3"/>
      <c r="D441" s="3"/>
      <c r="E441" s="7"/>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4.4">
      <c r="A442" s="6"/>
      <c r="B442" s="3"/>
      <c r="C442" s="3"/>
      <c r="D442" s="3"/>
      <c r="E442" s="7"/>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4.4">
      <c r="A443" s="6"/>
      <c r="B443" s="3"/>
      <c r="C443" s="3"/>
      <c r="D443" s="3"/>
      <c r="E443" s="7"/>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4.4">
      <c r="A444" s="6"/>
      <c r="B444" s="3"/>
      <c r="C444" s="3"/>
      <c r="D444" s="3"/>
      <c r="E444" s="7"/>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4.4">
      <c r="A445" s="6"/>
      <c r="B445" s="3"/>
      <c r="C445" s="3"/>
      <c r="D445" s="3"/>
      <c r="E445" s="7"/>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4.4">
      <c r="A446" s="6"/>
      <c r="B446" s="3"/>
      <c r="C446" s="3"/>
      <c r="D446" s="3"/>
      <c r="E446" s="7"/>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4.4">
      <c r="A447" s="6"/>
      <c r="B447" s="3"/>
      <c r="C447" s="3"/>
      <c r="D447" s="3"/>
      <c r="E447" s="7"/>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4.4">
      <c r="A448" s="6"/>
      <c r="B448" s="3"/>
      <c r="C448" s="3"/>
      <c r="D448" s="3"/>
      <c r="E448" s="7"/>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4.4">
      <c r="A449" s="6"/>
      <c r="B449" s="3"/>
      <c r="C449" s="3"/>
      <c r="D449" s="3"/>
      <c r="E449" s="7"/>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4.4">
      <c r="A450" s="6"/>
      <c r="B450" s="3"/>
      <c r="C450" s="3"/>
      <c r="D450" s="3"/>
      <c r="E450" s="7"/>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4.4">
      <c r="A451" s="6"/>
      <c r="B451" s="3"/>
      <c r="C451" s="3"/>
      <c r="D451" s="3"/>
      <c r="E451" s="7"/>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4.4">
      <c r="A452" s="6"/>
      <c r="B452" s="3"/>
      <c r="C452" s="3"/>
      <c r="D452" s="3"/>
      <c r="E452" s="7"/>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4.4">
      <c r="A453" s="6"/>
      <c r="B453" s="3"/>
      <c r="C453" s="3"/>
      <c r="D453" s="3"/>
      <c r="E453" s="7"/>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4.4">
      <c r="A454" s="6"/>
      <c r="B454" s="3"/>
      <c r="C454" s="3"/>
      <c r="D454" s="3"/>
      <c r="E454" s="7"/>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4.4">
      <c r="A455" s="6"/>
      <c r="B455" s="3"/>
      <c r="C455" s="3"/>
      <c r="D455" s="3"/>
      <c r="E455" s="7"/>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4.4">
      <c r="A456" s="6"/>
      <c r="B456" s="3"/>
      <c r="C456" s="3"/>
      <c r="D456" s="3"/>
      <c r="E456" s="7"/>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4.4">
      <c r="A457" s="6"/>
      <c r="B457" s="3"/>
      <c r="C457" s="3"/>
      <c r="D457" s="3"/>
      <c r="E457" s="7"/>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4.4">
      <c r="A458" s="6"/>
      <c r="B458" s="3"/>
      <c r="C458" s="3"/>
      <c r="D458" s="3"/>
      <c r="E458" s="7"/>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4.4">
      <c r="A459" s="6"/>
      <c r="B459" s="3"/>
      <c r="C459" s="3"/>
      <c r="D459" s="3"/>
      <c r="E459" s="7"/>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4.4">
      <c r="A460" s="6"/>
      <c r="B460" s="3"/>
      <c r="C460" s="3"/>
      <c r="D460" s="3"/>
      <c r="E460" s="7"/>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4.4">
      <c r="A461" s="6"/>
      <c r="B461" s="3"/>
      <c r="C461" s="3"/>
      <c r="D461" s="3"/>
      <c r="E461" s="7"/>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4.4">
      <c r="A462" s="6"/>
      <c r="B462" s="3"/>
      <c r="C462" s="3"/>
      <c r="D462" s="3"/>
      <c r="E462" s="7"/>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4.4">
      <c r="A463" s="6"/>
      <c r="B463" s="3"/>
      <c r="C463" s="3"/>
      <c r="D463" s="3"/>
      <c r="E463" s="7"/>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4.4">
      <c r="A464" s="6"/>
      <c r="B464" s="3"/>
      <c r="C464" s="3"/>
      <c r="D464" s="3"/>
      <c r="E464" s="7"/>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4.4">
      <c r="A465" s="6"/>
      <c r="B465" s="3"/>
      <c r="C465" s="3"/>
      <c r="D465" s="3"/>
      <c r="E465" s="7"/>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4.4">
      <c r="A466" s="6"/>
      <c r="B466" s="3"/>
      <c r="C466" s="3"/>
      <c r="D466" s="3"/>
      <c r="E466" s="7"/>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4.4">
      <c r="A467" s="6"/>
      <c r="B467" s="3"/>
      <c r="C467" s="3"/>
      <c r="D467" s="3"/>
      <c r="E467" s="7"/>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4.4">
      <c r="A468" s="6"/>
      <c r="B468" s="3"/>
      <c r="C468" s="3"/>
      <c r="D468" s="3"/>
      <c r="E468" s="7"/>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4.4">
      <c r="A469" s="6"/>
      <c r="B469" s="3"/>
      <c r="C469" s="3"/>
      <c r="D469" s="3"/>
      <c r="E469" s="7"/>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4.4">
      <c r="A470" s="6"/>
      <c r="B470" s="3"/>
      <c r="C470" s="3"/>
      <c r="D470" s="3"/>
      <c r="E470" s="7"/>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4.4">
      <c r="A471" s="6"/>
      <c r="B471" s="3"/>
      <c r="C471" s="3"/>
      <c r="D471" s="3"/>
      <c r="E471" s="7"/>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4.4">
      <c r="A472" s="6"/>
      <c r="B472" s="3"/>
      <c r="C472" s="3"/>
      <c r="D472" s="3"/>
      <c r="E472" s="7"/>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4.4">
      <c r="A473" s="6"/>
      <c r="B473" s="3"/>
      <c r="C473" s="3"/>
      <c r="D473" s="3"/>
      <c r="E473" s="7"/>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4.4">
      <c r="A474" s="6"/>
      <c r="B474" s="3"/>
      <c r="C474" s="3"/>
      <c r="D474" s="3"/>
      <c r="E474" s="7"/>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4.4">
      <c r="A475" s="6"/>
      <c r="B475" s="3"/>
      <c r="C475" s="3"/>
      <c r="D475" s="3"/>
      <c r="E475" s="7"/>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4.4">
      <c r="A476" s="6"/>
      <c r="B476" s="3"/>
      <c r="C476" s="3"/>
      <c r="D476" s="3"/>
      <c r="E476" s="7"/>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4.4">
      <c r="A477" s="6"/>
      <c r="B477" s="3"/>
      <c r="C477" s="3"/>
      <c r="D477" s="3"/>
      <c r="E477" s="7"/>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4.4">
      <c r="A478" s="6"/>
      <c r="B478" s="3"/>
      <c r="C478" s="3"/>
      <c r="D478" s="3"/>
      <c r="E478" s="7"/>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4.4">
      <c r="A479" s="6"/>
      <c r="B479" s="3"/>
      <c r="C479" s="3"/>
      <c r="D479" s="3"/>
      <c r="E479" s="7"/>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4.4">
      <c r="A480" s="6"/>
      <c r="B480" s="3"/>
      <c r="C480" s="3"/>
      <c r="D480" s="3"/>
      <c r="E480" s="7"/>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4.4">
      <c r="A481" s="6"/>
      <c r="B481" s="3"/>
      <c r="C481" s="3"/>
      <c r="D481" s="3"/>
      <c r="E481" s="7"/>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4.4">
      <c r="A482" s="6"/>
      <c r="B482" s="3"/>
      <c r="C482" s="3"/>
      <c r="D482" s="3"/>
      <c r="E482" s="7"/>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4.4">
      <c r="A483" s="6"/>
      <c r="B483" s="3"/>
      <c r="C483" s="3"/>
      <c r="D483" s="3"/>
      <c r="E483" s="7"/>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4.4">
      <c r="A484" s="6"/>
      <c r="B484" s="3"/>
      <c r="C484" s="3"/>
      <c r="D484" s="3"/>
      <c r="E484" s="7"/>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4.4">
      <c r="A485" s="6"/>
      <c r="B485" s="3"/>
      <c r="C485" s="3"/>
      <c r="D485" s="3"/>
      <c r="E485" s="7"/>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4.4">
      <c r="A486" s="6"/>
      <c r="B486" s="3"/>
      <c r="C486" s="3"/>
      <c r="D486" s="3"/>
      <c r="E486" s="7"/>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4.4">
      <c r="A487" s="6"/>
      <c r="B487" s="3"/>
      <c r="C487" s="3"/>
      <c r="D487" s="3"/>
      <c r="E487" s="7"/>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4.4">
      <c r="A488" s="6"/>
      <c r="B488" s="3"/>
      <c r="C488" s="3"/>
      <c r="D488" s="3"/>
      <c r="E488" s="7"/>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4.4">
      <c r="A489" s="6"/>
      <c r="B489" s="3"/>
      <c r="C489" s="3"/>
      <c r="D489" s="3"/>
      <c r="E489" s="7"/>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4.4">
      <c r="A490" s="6"/>
      <c r="B490" s="3"/>
      <c r="C490" s="3"/>
      <c r="D490" s="3"/>
      <c r="E490" s="7"/>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4.4">
      <c r="A491" s="6"/>
      <c r="B491" s="3"/>
      <c r="C491" s="3"/>
      <c r="D491" s="3"/>
      <c r="E491" s="7"/>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4.4">
      <c r="A492" s="6"/>
      <c r="B492" s="3"/>
      <c r="C492" s="3"/>
      <c r="D492" s="3"/>
      <c r="E492" s="7"/>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4.4">
      <c r="A493" s="6"/>
      <c r="B493" s="3"/>
      <c r="C493" s="3"/>
      <c r="D493" s="3"/>
      <c r="E493" s="7"/>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4.4">
      <c r="A494" s="6"/>
      <c r="B494" s="3"/>
      <c r="C494" s="3"/>
      <c r="D494" s="3"/>
      <c r="E494" s="7"/>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4.4">
      <c r="A495" s="6"/>
      <c r="B495" s="3"/>
      <c r="C495" s="3"/>
      <c r="D495" s="3"/>
      <c r="E495" s="7"/>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4.4">
      <c r="A496" s="6"/>
      <c r="B496" s="3"/>
      <c r="C496" s="3"/>
      <c r="D496" s="3"/>
      <c r="E496" s="7"/>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4.4">
      <c r="A497" s="6"/>
      <c r="B497" s="3"/>
      <c r="C497" s="3"/>
      <c r="D497" s="3"/>
      <c r="E497" s="7"/>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4.4">
      <c r="A498" s="6"/>
      <c r="B498" s="3"/>
      <c r="C498" s="3"/>
      <c r="D498" s="3"/>
      <c r="E498" s="7"/>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4.4">
      <c r="A499" s="6"/>
      <c r="B499" s="3"/>
      <c r="C499" s="3"/>
      <c r="D499" s="3"/>
      <c r="E499" s="7"/>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4.4">
      <c r="A500" s="6"/>
      <c r="B500" s="3"/>
      <c r="C500" s="3"/>
      <c r="D500" s="3"/>
      <c r="E500" s="7"/>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4.4">
      <c r="A501" s="6"/>
      <c r="B501" s="3"/>
      <c r="C501" s="3"/>
      <c r="D501" s="3"/>
      <c r="E501" s="7"/>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4.4">
      <c r="A502" s="6"/>
      <c r="B502" s="3"/>
      <c r="C502" s="3"/>
      <c r="D502" s="3"/>
      <c r="E502" s="7"/>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4.4">
      <c r="A503" s="6"/>
      <c r="B503" s="3"/>
      <c r="C503" s="3"/>
      <c r="D503" s="3"/>
      <c r="E503" s="7"/>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4.4">
      <c r="A504" s="6"/>
      <c r="B504" s="3"/>
      <c r="C504" s="3"/>
      <c r="D504" s="3"/>
      <c r="E504" s="7"/>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4.4">
      <c r="A505" s="6"/>
      <c r="B505" s="3"/>
      <c r="C505" s="3"/>
      <c r="D505" s="3"/>
      <c r="E505" s="7"/>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4.4">
      <c r="A506" s="6"/>
      <c r="B506" s="3"/>
      <c r="C506" s="3"/>
      <c r="D506" s="3"/>
      <c r="E506" s="7"/>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4.4">
      <c r="A507" s="6"/>
      <c r="B507" s="3"/>
      <c r="C507" s="3"/>
      <c r="D507" s="3"/>
      <c r="E507" s="7"/>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4.4">
      <c r="A508" s="6"/>
      <c r="B508" s="3"/>
      <c r="C508" s="3"/>
      <c r="D508" s="3"/>
      <c r="E508" s="7"/>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4.4">
      <c r="A509" s="6"/>
      <c r="B509" s="3"/>
      <c r="C509" s="3"/>
      <c r="D509" s="3"/>
      <c r="E509" s="7"/>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4.4">
      <c r="A510" s="6"/>
      <c r="B510" s="3"/>
      <c r="C510" s="3"/>
      <c r="D510" s="3"/>
      <c r="E510" s="7"/>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4.4">
      <c r="A511" s="6"/>
      <c r="B511" s="3"/>
      <c r="C511" s="3"/>
      <c r="D511" s="3"/>
      <c r="E511" s="7"/>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4.4">
      <c r="A512" s="6"/>
      <c r="B512" s="3"/>
      <c r="C512" s="3"/>
      <c r="D512" s="3"/>
      <c r="E512" s="7"/>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4.4">
      <c r="A513" s="6"/>
      <c r="B513" s="3"/>
      <c r="C513" s="3"/>
      <c r="D513" s="3"/>
      <c r="E513" s="7"/>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4.4">
      <c r="A514" s="6"/>
      <c r="B514" s="3"/>
      <c r="C514" s="3"/>
      <c r="D514" s="3"/>
      <c r="E514" s="7"/>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4.4">
      <c r="A515" s="6"/>
      <c r="B515" s="3"/>
      <c r="C515" s="3"/>
      <c r="D515" s="3"/>
      <c r="E515" s="7"/>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4.4">
      <c r="A516" s="6"/>
      <c r="B516" s="3"/>
      <c r="C516" s="3"/>
      <c r="D516" s="3"/>
      <c r="E516" s="7"/>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4.4">
      <c r="A517" s="6"/>
      <c r="B517" s="3"/>
      <c r="C517" s="3"/>
      <c r="D517" s="3"/>
      <c r="E517" s="7"/>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4.4">
      <c r="A518" s="6"/>
      <c r="B518" s="3"/>
      <c r="C518" s="3"/>
      <c r="D518" s="3"/>
      <c r="E518" s="7"/>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4.4">
      <c r="A519" s="6"/>
      <c r="B519" s="3"/>
      <c r="C519" s="3"/>
      <c r="D519" s="3"/>
      <c r="E519" s="7"/>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4.4">
      <c r="A520" s="6"/>
      <c r="B520" s="3"/>
      <c r="C520" s="3"/>
      <c r="D520" s="3"/>
      <c r="E520" s="7"/>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4.4">
      <c r="A521" s="6"/>
      <c r="B521" s="3"/>
      <c r="C521" s="3"/>
      <c r="D521" s="3"/>
      <c r="E521" s="7"/>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4.4">
      <c r="A522" s="6"/>
      <c r="B522" s="3"/>
      <c r="C522" s="3"/>
      <c r="D522" s="3"/>
      <c r="E522" s="7"/>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4.4">
      <c r="A523" s="6"/>
      <c r="B523" s="3"/>
      <c r="C523" s="3"/>
      <c r="D523" s="3"/>
      <c r="E523" s="7"/>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4.4">
      <c r="A524" s="6"/>
      <c r="B524" s="3"/>
      <c r="C524" s="3"/>
      <c r="D524" s="3"/>
      <c r="E524" s="7"/>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4.4">
      <c r="A525" s="6"/>
      <c r="B525" s="3"/>
      <c r="C525" s="3"/>
      <c r="D525" s="3"/>
      <c r="E525" s="7"/>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4.4">
      <c r="A526" s="6"/>
      <c r="B526" s="3"/>
      <c r="C526" s="3"/>
      <c r="D526" s="3"/>
      <c r="E526" s="7"/>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4.4">
      <c r="A527" s="6"/>
      <c r="B527" s="3"/>
      <c r="C527" s="3"/>
      <c r="D527" s="3"/>
      <c r="E527" s="7"/>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4.4">
      <c r="A528" s="6"/>
      <c r="B528" s="3"/>
      <c r="C528" s="3"/>
      <c r="D528" s="3"/>
      <c r="E528" s="7"/>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4.4">
      <c r="A529" s="6"/>
      <c r="B529" s="3"/>
      <c r="C529" s="3"/>
      <c r="D529" s="3"/>
      <c r="E529" s="7"/>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4.4">
      <c r="A530" s="6"/>
      <c r="B530" s="3"/>
      <c r="C530" s="3"/>
      <c r="D530" s="3"/>
      <c r="E530" s="7"/>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4.4">
      <c r="A531" s="6"/>
      <c r="B531" s="3"/>
      <c r="C531" s="3"/>
      <c r="D531" s="3"/>
      <c r="E531" s="7"/>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4.4">
      <c r="A532" s="6"/>
      <c r="B532" s="3"/>
      <c r="C532" s="3"/>
      <c r="D532" s="3"/>
      <c r="E532" s="7"/>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4.4">
      <c r="A533" s="6"/>
      <c r="B533" s="3"/>
      <c r="C533" s="3"/>
      <c r="D533" s="3"/>
      <c r="E533" s="7"/>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4.4">
      <c r="A534" s="6"/>
      <c r="B534" s="3"/>
      <c r="C534" s="3"/>
      <c r="D534" s="3"/>
      <c r="E534" s="7"/>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4.4">
      <c r="A535" s="6"/>
      <c r="B535" s="3"/>
      <c r="C535" s="3"/>
      <c r="D535" s="3"/>
      <c r="E535" s="7"/>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4.4">
      <c r="A536" s="6"/>
      <c r="B536" s="3"/>
      <c r="C536" s="3"/>
      <c r="D536" s="3"/>
      <c r="E536" s="7"/>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4.4">
      <c r="A537" s="6"/>
      <c r="B537" s="3"/>
      <c r="C537" s="3"/>
      <c r="D537" s="3"/>
      <c r="E537" s="7"/>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4.4">
      <c r="A538" s="6"/>
      <c r="B538" s="3"/>
      <c r="C538" s="3"/>
      <c r="D538" s="3"/>
      <c r="E538" s="7"/>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4.4">
      <c r="A539" s="6"/>
      <c r="B539" s="3"/>
      <c r="C539" s="3"/>
      <c r="D539" s="3"/>
      <c r="E539" s="7"/>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4.4">
      <c r="A540" s="6"/>
      <c r="B540" s="3"/>
      <c r="C540" s="3"/>
      <c r="D540" s="3"/>
      <c r="E540" s="7"/>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4.4">
      <c r="A541" s="6"/>
      <c r="B541" s="3"/>
      <c r="C541" s="3"/>
      <c r="D541" s="3"/>
      <c r="E541" s="7"/>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4.4">
      <c r="A542" s="6"/>
      <c r="B542" s="3"/>
      <c r="C542" s="3"/>
      <c r="D542" s="3"/>
      <c r="E542" s="7"/>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4.4">
      <c r="A543" s="6"/>
      <c r="B543" s="3"/>
      <c r="C543" s="3"/>
      <c r="D543" s="3"/>
      <c r="E543" s="7"/>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4.4">
      <c r="A544" s="6"/>
      <c r="B544" s="3"/>
      <c r="C544" s="3"/>
      <c r="D544" s="3"/>
      <c r="E544" s="7"/>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4.4">
      <c r="A545" s="6"/>
      <c r="B545" s="3"/>
      <c r="C545" s="3"/>
      <c r="D545" s="3"/>
      <c r="E545" s="7"/>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4.4">
      <c r="A546" s="6"/>
      <c r="B546" s="3"/>
      <c r="C546" s="3"/>
      <c r="D546" s="3"/>
      <c r="E546" s="7"/>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4.4">
      <c r="A547" s="6"/>
      <c r="B547" s="3"/>
      <c r="C547" s="3"/>
      <c r="D547" s="3"/>
      <c r="E547" s="7"/>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4.4">
      <c r="A548" s="6"/>
      <c r="B548" s="3"/>
      <c r="C548" s="3"/>
      <c r="D548" s="3"/>
      <c r="E548" s="7"/>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4.4">
      <c r="A549" s="6"/>
      <c r="B549" s="3"/>
      <c r="C549" s="3"/>
      <c r="D549" s="3"/>
      <c r="E549" s="7"/>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4.4">
      <c r="A550" s="6"/>
      <c r="B550" s="3"/>
      <c r="C550" s="3"/>
      <c r="D550" s="3"/>
      <c r="E550" s="7"/>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4.4">
      <c r="A551" s="6"/>
      <c r="B551" s="3"/>
      <c r="C551" s="3"/>
      <c r="D551" s="3"/>
      <c r="E551" s="7"/>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4.4">
      <c r="A552" s="6"/>
      <c r="B552" s="3"/>
      <c r="C552" s="3"/>
      <c r="D552" s="3"/>
      <c r="E552" s="7"/>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4.4">
      <c r="A553" s="6"/>
      <c r="B553" s="3"/>
      <c r="C553" s="3"/>
      <c r="D553" s="3"/>
      <c r="E553" s="7"/>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4.4">
      <c r="A554" s="6"/>
      <c r="B554" s="3"/>
      <c r="C554" s="3"/>
      <c r="D554" s="3"/>
      <c r="E554" s="7"/>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4.4">
      <c r="A555" s="6"/>
      <c r="B555" s="3"/>
      <c r="C555" s="3"/>
      <c r="D555" s="3"/>
      <c r="E555" s="7"/>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4.4">
      <c r="A556" s="6"/>
      <c r="B556" s="3"/>
      <c r="C556" s="3"/>
      <c r="D556" s="3"/>
      <c r="E556" s="7"/>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4.4">
      <c r="A557" s="6"/>
      <c r="B557" s="3"/>
      <c r="C557" s="3"/>
      <c r="D557" s="3"/>
      <c r="E557" s="7"/>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4.4">
      <c r="A558" s="6"/>
      <c r="B558" s="3"/>
      <c r="C558" s="3"/>
      <c r="D558" s="3"/>
      <c r="E558" s="7"/>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4.4">
      <c r="A559" s="6"/>
      <c r="B559" s="3"/>
      <c r="C559" s="3"/>
      <c r="D559" s="3"/>
      <c r="E559" s="7"/>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4.4">
      <c r="A560" s="6"/>
      <c r="B560" s="3"/>
      <c r="C560" s="3"/>
      <c r="D560" s="3"/>
      <c r="E560" s="7"/>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4.4">
      <c r="A561" s="6"/>
      <c r="B561" s="3"/>
      <c r="C561" s="3"/>
      <c r="D561" s="3"/>
      <c r="E561" s="7"/>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4.4">
      <c r="A562" s="6"/>
      <c r="B562" s="3"/>
      <c r="C562" s="3"/>
      <c r="D562" s="3"/>
      <c r="E562" s="7"/>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4.4">
      <c r="A563" s="6"/>
      <c r="B563" s="3"/>
      <c r="C563" s="3"/>
      <c r="D563" s="3"/>
      <c r="E563" s="7"/>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4.4">
      <c r="A564" s="6"/>
      <c r="B564" s="3"/>
      <c r="C564" s="3"/>
      <c r="D564" s="3"/>
      <c r="E564" s="7"/>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4.4">
      <c r="A565" s="6"/>
      <c r="B565" s="3"/>
      <c r="C565" s="3"/>
      <c r="D565" s="3"/>
      <c r="E565" s="7"/>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4.4">
      <c r="A566" s="6"/>
      <c r="B566" s="3"/>
      <c r="C566" s="3"/>
      <c r="D566" s="3"/>
      <c r="E566" s="7"/>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4.4">
      <c r="A567" s="6"/>
      <c r="B567" s="3"/>
      <c r="C567" s="3"/>
      <c r="D567" s="3"/>
      <c r="E567" s="7"/>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4.4">
      <c r="A568" s="6"/>
      <c r="B568" s="3"/>
      <c r="C568" s="3"/>
      <c r="D568" s="3"/>
      <c r="E568" s="7"/>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4.4">
      <c r="A569" s="6"/>
      <c r="B569" s="3"/>
      <c r="C569" s="3"/>
      <c r="D569" s="3"/>
      <c r="E569" s="7"/>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4.4">
      <c r="A570" s="6"/>
      <c r="B570" s="3"/>
      <c r="C570" s="3"/>
      <c r="D570" s="3"/>
      <c r="E570" s="7"/>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4.4">
      <c r="A571" s="6"/>
      <c r="B571" s="3"/>
      <c r="C571" s="3"/>
      <c r="D571" s="3"/>
      <c r="E571" s="7"/>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4.4">
      <c r="A572" s="6"/>
      <c r="B572" s="3"/>
      <c r="C572" s="3"/>
      <c r="D572" s="3"/>
      <c r="E572" s="7"/>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4.4">
      <c r="A573" s="6"/>
      <c r="B573" s="3"/>
      <c r="C573" s="3"/>
      <c r="D573" s="3"/>
      <c r="E573" s="7"/>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4.4">
      <c r="A574" s="6"/>
      <c r="B574" s="3"/>
      <c r="C574" s="3"/>
      <c r="D574" s="3"/>
      <c r="E574" s="7"/>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4.4">
      <c r="A575" s="6"/>
      <c r="B575" s="3"/>
      <c r="C575" s="3"/>
      <c r="D575" s="3"/>
      <c r="E575" s="7"/>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4.4">
      <c r="A576" s="6"/>
      <c r="B576" s="3"/>
      <c r="C576" s="3"/>
      <c r="D576" s="3"/>
      <c r="E576" s="7"/>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4.4">
      <c r="A577" s="6"/>
      <c r="B577" s="3"/>
      <c r="C577" s="3"/>
      <c r="D577" s="3"/>
      <c r="E577" s="7"/>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4.4">
      <c r="A578" s="6"/>
      <c r="B578" s="3"/>
      <c r="C578" s="3"/>
      <c r="D578" s="3"/>
      <c r="E578" s="7"/>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4.4">
      <c r="A579" s="6"/>
      <c r="B579" s="3"/>
      <c r="C579" s="3"/>
      <c r="D579" s="3"/>
      <c r="E579" s="7"/>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4.4">
      <c r="A580" s="6"/>
      <c r="B580" s="3"/>
      <c r="C580" s="3"/>
      <c r="D580" s="3"/>
      <c r="E580" s="7"/>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4.4">
      <c r="A581" s="6"/>
      <c r="B581" s="3"/>
      <c r="C581" s="3"/>
      <c r="D581" s="3"/>
      <c r="E581" s="7"/>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4.4">
      <c r="A582" s="6"/>
      <c r="B582" s="3"/>
      <c r="C582" s="3"/>
      <c r="D582" s="3"/>
      <c r="E582" s="7"/>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4.4">
      <c r="A583" s="6"/>
      <c r="B583" s="3"/>
      <c r="C583" s="3"/>
      <c r="D583" s="3"/>
      <c r="E583" s="7"/>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4.4">
      <c r="A584" s="6"/>
      <c r="B584" s="3"/>
      <c r="C584" s="3"/>
      <c r="D584" s="3"/>
      <c r="E584" s="7"/>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4.4">
      <c r="A585" s="6"/>
      <c r="B585" s="3"/>
      <c r="C585" s="3"/>
      <c r="D585" s="3"/>
      <c r="E585" s="7"/>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4.4">
      <c r="A586" s="6"/>
      <c r="B586" s="3"/>
      <c r="C586" s="3"/>
      <c r="D586" s="3"/>
      <c r="E586" s="7"/>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4.4">
      <c r="A587" s="6"/>
      <c r="B587" s="3"/>
      <c r="C587" s="3"/>
      <c r="D587" s="3"/>
      <c r="E587" s="7"/>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4.4">
      <c r="A588" s="6"/>
      <c r="B588" s="3"/>
      <c r="C588" s="3"/>
      <c r="D588" s="3"/>
      <c r="E588" s="7"/>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4.4">
      <c r="A589" s="6"/>
      <c r="B589" s="3"/>
      <c r="C589" s="3"/>
      <c r="D589" s="3"/>
      <c r="E589" s="7"/>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4.4">
      <c r="A590" s="6"/>
      <c r="B590" s="3"/>
      <c r="C590" s="3"/>
      <c r="D590" s="3"/>
      <c r="E590" s="7"/>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4.4">
      <c r="A591" s="6"/>
      <c r="B591" s="3"/>
      <c r="C591" s="3"/>
      <c r="D591" s="3"/>
      <c r="E591" s="7"/>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4.4">
      <c r="A592" s="6"/>
      <c r="B592" s="3"/>
      <c r="C592" s="3"/>
      <c r="D592" s="3"/>
      <c r="E592" s="7"/>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4.4">
      <c r="A593" s="6"/>
      <c r="B593" s="3"/>
      <c r="C593" s="3"/>
      <c r="D593" s="3"/>
      <c r="E593" s="7"/>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4.4">
      <c r="A594" s="6"/>
      <c r="B594" s="3"/>
      <c r="C594" s="3"/>
      <c r="D594" s="3"/>
      <c r="E594" s="7"/>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4.4">
      <c r="A595" s="6"/>
      <c r="B595" s="3"/>
      <c r="C595" s="3"/>
      <c r="D595" s="3"/>
      <c r="E595" s="7"/>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4.4">
      <c r="A596" s="6"/>
      <c r="B596" s="3"/>
      <c r="C596" s="3"/>
      <c r="D596" s="3"/>
      <c r="E596" s="7"/>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4.4">
      <c r="A597" s="6"/>
      <c r="B597" s="3"/>
      <c r="C597" s="3"/>
      <c r="D597" s="3"/>
      <c r="E597" s="7"/>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4.4">
      <c r="A598" s="6"/>
      <c r="B598" s="3"/>
      <c r="C598" s="3"/>
      <c r="D598" s="3"/>
      <c r="E598" s="7"/>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4.4">
      <c r="A599" s="6"/>
      <c r="B599" s="3"/>
      <c r="C599" s="3"/>
      <c r="D599" s="3"/>
      <c r="E599" s="7"/>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4.4">
      <c r="A600" s="6"/>
      <c r="B600" s="3"/>
      <c r="C600" s="3"/>
      <c r="D600" s="3"/>
      <c r="E600" s="7"/>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4.4">
      <c r="A601" s="6"/>
      <c r="B601" s="3"/>
      <c r="C601" s="3"/>
      <c r="D601" s="3"/>
      <c r="E601" s="7"/>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4.4">
      <c r="A602" s="6"/>
      <c r="B602" s="3"/>
      <c r="C602" s="3"/>
      <c r="D602" s="3"/>
      <c r="E602" s="7"/>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4.4">
      <c r="A603" s="6"/>
      <c r="B603" s="3"/>
      <c r="C603" s="3"/>
      <c r="D603" s="3"/>
      <c r="E603" s="7"/>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4.4">
      <c r="A604" s="6"/>
      <c r="B604" s="3"/>
      <c r="C604" s="3"/>
      <c r="D604" s="3"/>
      <c r="E604" s="7"/>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4.4">
      <c r="A605" s="6"/>
      <c r="B605" s="3"/>
      <c r="C605" s="3"/>
      <c r="D605" s="3"/>
      <c r="E605" s="7"/>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4.4">
      <c r="A606" s="6"/>
      <c r="B606" s="3"/>
      <c r="C606" s="3"/>
      <c r="D606" s="3"/>
      <c r="E606" s="7"/>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4.4">
      <c r="A607" s="6"/>
      <c r="B607" s="3"/>
      <c r="C607" s="3"/>
      <c r="D607" s="3"/>
      <c r="E607" s="7"/>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4.4">
      <c r="A608" s="6"/>
      <c r="B608" s="3"/>
      <c r="C608" s="3"/>
      <c r="D608" s="3"/>
      <c r="E608" s="7"/>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4.4">
      <c r="A609" s="6"/>
      <c r="B609" s="3"/>
      <c r="C609" s="3"/>
      <c r="D609" s="3"/>
      <c r="E609" s="7"/>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4.4">
      <c r="A610" s="6"/>
      <c r="B610" s="3"/>
      <c r="C610" s="3"/>
      <c r="D610" s="3"/>
      <c r="E610" s="7"/>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4.4">
      <c r="A611" s="6"/>
      <c r="B611" s="3"/>
      <c r="C611" s="3"/>
      <c r="D611" s="3"/>
      <c r="E611" s="7"/>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4.4">
      <c r="A612" s="6"/>
      <c r="B612" s="3"/>
      <c r="C612" s="3"/>
      <c r="D612" s="3"/>
      <c r="E612" s="7"/>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4.4">
      <c r="A613" s="6"/>
      <c r="B613" s="3"/>
      <c r="C613" s="3"/>
      <c r="D613" s="3"/>
      <c r="E613" s="7"/>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4.4">
      <c r="A614" s="6"/>
      <c r="B614" s="3"/>
      <c r="C614" s="3"/>
      <c r="D614" s="3"/>
      <c r="E614" s="7"/>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4.4">
      <c r="A615" s="6"/>
      <c r="B615" s="3"/>
      <c r="C615" s="3"/>
      <c r="D615" s="3"/>
      <c r="E615" s="7"/>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4.4">
      <c r="A616" s="6"/>
      <c r="B616" s="3"/>
      <c r="C616" s="3"/>
      <c r="D616" s="3"/>
      <c r="E616" s="7"/>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4.4">
      <c r="A617" s="6"/>
      <c r="B617" s="3"/>
      <c r="C617" s="3"/>
      <c r="D617" s="3"/>
      <c r="E617" s="7"/>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4.4">
      <c r="A618" s="6"/>
      <c r="B618" s="3"/>
      <c r="C618" s="3"/>
      <c r="D618" s="3"/>
      <c r="E618" s="7"/>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4.4">
      <c r="A619" s="6"/>
      <c r="B619" s="3"/>
      <c r="C619" s="3"/>
      <c r="D619" s="3"/>
      <c r="E619" s="7"/>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4.4">
      <c r="A620" s="6"/>
      <c r="B620" s="3"/>
      <c r="C620" s="3"/>
      <c r="D620" s="3"/>
      <c r="E620" s="7"/>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4.4">
      <c r="A621" s="6"/>
      <c r="B621" s="3"/>
      <c r="C621" s="3"/>
      <c r="D621" s="3"/>
      <c r="E621" s="7"/>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4.4">
      <c r="A622" s="6"/>
      <c r="B622" s="3"/>
      <c r="C622" s="3"/>
      <c r="D622" s="3"/>
      <c r="E622" s="7"/>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4.4">
      <c r="A623" s="6"/>
      <c r="B623" s="3"/>
      <c r="C623" s="3"/>
      <c r="D623" s="3"/>
      <c r="E623" s="7"/>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4.4">
      <c r="A624" s="6"/>
      <c r="B624" s="3"/>
      <c r="C624" s="3"/>
      <c r="D624" s="3"/>
      <c r="E624" s="7"/>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4.4">
      <c r="A625" s="6"/>
      <c r="B625" s="3"/>
      <c r="C625" s="3"/>
      <c r="D625" s="3"/>
      <c r="E625" s="7"/>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4.4">
      <c r="A626" s="6"/>
      <c r="B626" s="3"/>
      <c r="C626" s="3"/>
      <c r="D626" s="3"/>
      <c r="E626" s="7"/>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4.4">
      <c r="A627" s="6"/>
      <c r="B627" s="3"/>
      <c r="C627" s="3"/>
      <c r="D627" s="3"/>
      <c r="E627" s="7"/>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4.4">
      <c r="A628" s="6"/>
      <c r="B628" s="3"/>
      <c r="C628" s="3"/>
      <c r="D628" s="3"/>
      <c r="E628" s="7"/>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4.4">
      <c r="A629" s="6"/>
      <c r="B629" s="3"/>
      <c r="C629" s="3"/>
      <c r="D629" s="3"/>
      <c r="E629" s="7"/>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4.4">
      <c r="A630" s="6"/>
      <c r="B630" s="3"/>
      <c r="C630" s="3"/>
      <c r="D630" s="3"/>
      <c r="E630" s="7"/>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4.4">
      <c r="A631" s="6"/>
      <c r="B631" s="3"/>
      <c r="C631" s="3"/>
      <c r="D631" s="3"/>
      <c r="E631" s="7"/>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4.4">
      <c r="A632" s="6"/>
      <c r="B632" s="3"/>
      <c r="C632" s="3"/>
      <c r="D632" s="3"/>
      <c r="E632" s="7"/>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4.4">
      <c r="A633" s="6"/>
      <c r="B633" s="3"/>
      <c r="C633" s="3"/>
      <c r="D633" s="3"/>
      <c r="E633" s="7"/>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4.4">
      <c r="A634" s="6"/>
      <c r="B634" s="3"/>
      <c r="C634" s="3"/>
      <c r="D634" s="3"/>
      <c r="E634" s="7"/>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4.4">
      <c r="A635" s="6"/>
      <c r="B635" s="3"/>
      <c r="C635" s="3"/>
      <c r="D635" s="3"/>
      <c r="E635" s="7"/>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4.4">
      <c r="A636" s="6"/>
      <c r="B636" s="3"/>
      <c r="C636" s="3"/>
      <c r="D636" s="3"/>
      <c r="E636" s="7"/>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4.4">
      <c r="A637" s="6"/>
      <c r="B637" s="3"/>
      <c r="C637" s="3"/>
      <c r="D637" s="3"/>
      <c r="E637" s="7"/>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4.4">
      <c r="A638" s="6"/>
      <c r="B638" s="3"/>
      <c r="C638" s="3"/>
      <c r="D638" s="3"/>
      <c r="E638" s="7"/>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4.4">
      <c r="A639" s="6"/>
      <c r="B639" s="3"/>
      <c r="C639" s="3"/>
      <c r="D639" s="3"/>
      <c r="E639" s="7"/>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4.4">
      <c r="A640" s="6"/>
      <c r="B640" s="3"/>
      <c r="C640" s="3"/>
      <c r="D640" s="3"/>
      <c r="E640" s="7"/>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4.4">
      <c r="A641" s="6"/>
      <c r="B641" s="3"/>
      <c r="C641" s="3"/>
      <c r="D641" s="3"/>
      <c r="E641" s="7"/>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4.4">
      <c r="A642" s="6"/>
      <c r="B642" s="3"/>
      <c r="C642" s="3"/>
      <c r="D642" s="3"/>
      <c r="E642" s="7"/>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4.4">
      <c r="A643" s="6"/>
      <c r="B643" s="3"/>
      <c r="C643" s="3"/>
      <c r="D643" s="3"/>
      <c r="E643" s="7"/>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4.4">
      <c r="A644" s="6"/>
      <c r="B644" s="3"/>
      <c r="C644" s="3"/>
      <c r="D644" s="3"/>
      <c r="E644" s="7"/>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4.4">
      <c r="A645" s="6"/>
      <c r="B645" s="3"/>
      <c r="C645" s="3"/>
      <c r="D645" s="3"/>
      <c r="E645" s="7"/>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4.4">
      <c r="A646" s="6"/>
      <c r="B646" s="3"/>
      <c r="C646" s="3"/>
      <c r="D646" s="3"/>
      <c r="E646" s="7"/>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4.4">
      <c r="A647" s="6"/>
      <c r="B647" s="3"/>
      <c r="C647" s="3"/>
      <c r="D647" s="3"/>
      <c r="E647" s="7"/>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4.4">
      <c r="A648" s="6"/>
      <c r="B648" s="3"/>
      <c r="C648" s="3"/>
      <c r="D648" s="3"/>
      <c r="E648" s="7"/>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4.4">
      <c r="A649" s="6"/>
      <c r="B649" s="3"/>
      <c r="C649" s="3"/>
      <c r="D649" s="3"/>
      <c r="E649" s="7"/>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4.4">
      <c r="A650" s="6"/>
      <c r="B650" s="3"/>
      <c r="C650" s="3"/>
      <c r="D650" s="3"/>
      <c r="E650" s="7"/>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4.4">
      <c r="A651" s="6"/>
      <c r="B651" s="3"/>
      <c r="C651" s="3"/>
      <c r="D651" s="3"/>
      <c r="E651" s="7"/>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4.4">
      <c r="A652" s="6"/>
      <c r="B652" s="3"/>
      <c r="C652" s="3"/>
      <c r="D652" s="3"/>
      <c r="E652" s="7"/>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4.4">
      <c r="A653" s="6"/>
      <c r="B653" s="3"/>
      <c r="C653" s="3"/>
      <c r="D653" s="3"/>
      <c r="E653" s="7"/>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4.4">
      <c r="A654" s="6"/>
      <c r="B654" s="3"/>
      <c r="C654" s="3"/>
      <c r="D654" s="3"/>
      <c r="E654" s="7"/>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4.4">
      <c r="A655" s="6"/>
      <c r="B655" s="3"/>
      <c r="C655" s="3"/>
      <c r="D655" s="3"/>
      <c r="E655" s="7"/>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4.4">
      <c r="A656" s="6"/>
      <c r="B656" s="3"/>
      <c r="C656" s="3"/>
      <c r="D656" s="3"/>
      <c r="E656" s="7"/>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4.4">
      <c r="A657" s="6"/>
      <c r="B657" s="3"/>
      <c r="C657" s="3"/>
      <c r="D657" s="3"/>
      <c r="E657" s="7"/>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4.4">
      <c r="A658" s="6"/>
      <c r="B658" s="3"/>
      <c r="C658" s="3"/>
      <c r="D658" s="3"/>
      <c r="E658" s="7"/>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4.4">
      <c r="A659" s="6"/>
      <c r="B659" s="3"/>
      <c r="C659" s="3"/>
      <c r="D659" s="3"/>
      <c r="E659" s="7"/>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4.4">
      <c r="A660" s="6"/>
      <c r="B660" s="3"/>
      <c r="C660" s="3"/>
      <c r="D660" s="3"/>
      <c r="E660" s="7"/>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4.4">
      <c r="A661" s="6"/>
      <c r="B661" s="3"/>
      <c r="C661" s="3"/>
      <c r="D661" s="3"/>
      <c r="E661" s="7"/>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4.4">
      <c r="A662" s="6"/>
      <c r="B662" s="3"/>
      <c r="C662" s="3"/>
      <c r="D662" s="3"/>
      <c r="E662" s="7"/>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4.4">
      <c r="A663" s="6"/>
      <c r="B663" s="3"/>
      <c r="C663" s="3"/>
      <c r="D663" s="3"/>
      <c r="E663" s="7"/>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4.4">
      <c r="A664" s="6"/>
      <c r="B664" s="3"/>
      <c r="C664" s="3"/>
      <c r="D664" s="3"/>
      <c r="E664" s="7"/>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4.4">
      <c r="A665" s="6"/>
      <c r="B665" s="3"/>
      <c r="C665" s="3"/>
      <c r="D665" s="3"/>
      <c r="E665" s="7"/>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4.4">
      <c r="A666" s="6"/>
      <c r="B666" s="3"/>
      <c r="C666" s="3"/>
      <c r="D666" s="3"/>
      <c r="E666" s="7"/>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4.4">
      <c r="A667" s="6"/>
      <c r="B667" s="3"/>
      <c r="C667" s="3"/>
      <c r="D667" s="3"/>
      <c r="E667" s="7"/>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4.4">
      <c r="A668" s="6"/>
      <c r="B668" s="3"/>
      <c r="C668" s="3"/>
      <c r="D668" s="3"/>
      <c r="E668" s="7"/>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4.4">
      <c r="A669" s="6"/>
      <c r="B669" s="3"/>
      <c r="C669" s="3"/>
      <c r="D669" s="3"/>
      <c r="E669" s="7"/>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4.4">
      <c r="A670" s="6"/>
      <c r="B670" s="3"/>
      <c r="C670" s="3"/>
      <c r="D670" s="3"/>
      <c r="E670" s="7"/>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4.4">
      <c r="A671" s="6"/>
      <c r="B671" s="3"/>
      <c r="C671" s="3"/>
      <c r="D671" s="3"/>
      <c r="E671" s="7"/>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4.4">
      <c r="A672" s="6"/>
      <c r="B672" s="3"/>
      <c r="C672" s="3"/>
      <c r="D672" s="3"/>
      <c r="E672" s="7"/>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4.4">
      <c r="A673" s="6"/>
      <c r="B673" s="3"/>
      <c r="C673" s="3"/>
      <c r="D673" s="3"/>
      <c r="E673" s="7"/>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4.4">
      <c r="A674" s="6"/>
      <c r="B674" s="3"/>
      <c r="C674" s="3"/>
      <c r="D674" s="3"/>
      <c r="E674" s="7"/>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4.4">
      <c r="A675" s="6"/>
      <c r="B675" s="3"/>
      <c r="C675" s="3"/>
      <c r="D675" s="3"/>
      <c r="E675" s="7"/>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4.4">
      <c r="A676" s="6"/>
      <c r="B676" s="3"/>
      <c r="C676" s="3"/>
      <c r="D676" s="3"/>
      <c r="E676" s="7"/>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4.4">
      <c r="A677" s="6"/>
      <c r="B677" s="3"/>
      <c r="C677" s="3"/>
      <c r="D677" s="3"/>
      <c r="E677" s="7"/>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4.4">
      <c r="A678" s="6"/>
      <c r="B678" s="3"/>
      <c r="C678" s="3"/>
      <c r="D678" s="3"/>
      <c r="E678" s="7"/>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4.4">
      <c r="A679" s="6"/>
      <c r="B679" s="3"/>
      <c r="C679" s="3"/>
      <c r="D679" s="3"/>
      <c r="E679" s="7"/>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4.4">
      <c r="A680" s="6"/>
      <c r="B680" s="3"/>
      <c r="C680" s="3"/>
      <c r="D680" s="3"/>
      <c r="E680" s="7"/>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4.4">
      <c r="A681" s="6"/>
      <c r="B681" s="3"/>
      <c r="C681" s="3"/>
      <c r="D681" s="3"/>
      <c r="E681" s="7"/>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4.4">
      <c r="A682" s="6"/>
      <c r="B682" s="3"/>
      <c r="C682" s="3"/>
      <c r="D682" s="3"/>
      <c r="E682" s="7"/>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4.4">
      <c r="A683" s="6"/>
      <c r="B683" s="3"/>
      <c r="C683" s="3"/>
      <c r="D683" s="3"/>
      <c r="E683" s="7"/>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4.4">
      <c r="A684" s="6"/>
      <c r="B684" s="3"/>
      <c r="C684" s="3"/>
      <c r="D684" s="3"/>
      <c r="E684" s="7"/>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4.4">
      <c r="A685" s="6"/>
      <c r="B685" s="3"/>
      <c r="C685" s="3"/>
      <c r="D685" s="3"/>
      <c r="E685" s="7"/>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4.4">
      <c r="A686" s="6"/>
      <c r="B686" s="3"/>
      <c r="C686" s="3"/>
      <c r="D686" s="3"/>
      <c r="E686" s="7"/>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4.4">
      <c r="A687" s="6"/>
      <c r="B687" s="3"/>
      <c r="C687" s="3"/>
      <c r="D687" s="3"/>
      <c r="E687" s="7"/>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4.4">
      <c r="A688" s="6"/>
      <c r="B688" s="3"/>
      <c r="C688" s="3"/>
      <c r="D688" s="3"/>
      <c r="E688" s="7"/>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4.4">
      <c r="A689" s="6"/>
      <c r="B689" s="3"/>
      <c r="C689" s="3"/>
      <c r="D689" s="3"/>
      <c r="E689" s="7"/>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4.4">
      <c r="A690" s="6"/>
      <c r="B690" s="3"/>
      <c r="C690" s="3"/>
      <c r="D690" s="3"/>
      <c r="E690" s="7"/>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4.4">
      <c r="A691" s="6"/>
      <c r="B691" s="3"/>
      <c r="C691" s="3"/>
      <c r="D691" s="3"/>
      <c r="E691" s="7"/>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4.4">
      <c r="A692" s="6"/>
      <c r="B692" s="3"/>
      <c r="C692" s="3"/>
      <c r="D692" s="3"/>
      <c r="E692" s="7"/>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4.4">
      <c r="A693" s="6"/>
      <c r="B693" s="3"/>
      <c r="C693" s="3"/>
      <c r="D693" s="3"/>
      <c r="E693" s="7"/>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4.4">
      <c r="A694" s="6"/>
      <c r="B694" s="3"/>
      <c r="C694" s="3"/>
      <c r="D694" s="3"/>
      <c r="E694" s="7"/>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4.4">
      <c r="A695" s="6"/>
      <c r="B695" s="3"/>
      <c r="C695" s="3"/>
      <c r="D695" s="3"/>
      <c r="E695" s="7"/>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4.4">
      <c r="A696" s="6"/>
      <c r="B696" s="3"/>
      <c r="C696" s="3"/>
      <c r="D696" s="3"/>
      <c r="E696" s="7"/>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4.4">
      <c r="A697" s="6"/>
      <c r="B697" s="3"/>
      <c r="C697" s="3"/>
      <c r="D697" s="3"/>
      <c r="E697" s="7"/>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4.4">
      <c r="A698" s="6"/>
      <c r="B698" s="3"/>
      <c r="C698" s="3"/>
      <c r="D698" s="3"/>
      <c r="E698" s="7"/>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4.4">
      <c r="A699" s="6"/>
      <c r="B699" s="3"/>
      <c r="C699" s="3"/>
      <c r="D699" s="3"/>
      <c r="E699" s="7"/>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4.4">
      <c r="A700" s="6"/>
      <c r="B700" s="3"/>
      <c r="C700" s="3"/>
      <c r="D700" s="3"/>
      <c r="E700" s="7"/>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4.4">
      <c r="A701" s="6"/>
      <c r="B701" s="3"/>
      <c r="C701" s="3"/>
      <c r="D701" s="3"/>
      <c r="E701" s="7"/>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4.4">
      <c r="A702" s="6"/>
      <c r="B702" s="3"/>
      <c r="C702" s="3"/>
      <c r="D702" s="3"/>
      <c r="E702" s="7"/>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4.4">
      <c r="A703" s="6"/>
      <c r="B703" s="3"/>
      <c r="C703" s="3"/>
      <c r="D703" s="3"/>
      <c r="E703" s="7"/>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4.4">
      <c r="A704" s="6"/>
      <c r="B704" s="3"/>
      <c r="C704" s="3"/>
      <c r="D704" s="3"/>
      <c r="E704" s="7"/>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4.4">
      <c r="A705" s="6"/>
      <c r="B705" s="3"/>
      <c r="C705" s="3"/>
      <c r="D705" s="3"/>
      <c r="E705" s="7"/>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4.4">
      <c r="A706" s="6"/>
      <c r="B706" s="3"/>
      <c r="C706" s="3"/>
      <c r="D706" s="3"/>
      <c r="E706" s="7"/>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4.4">
      <c r="A707" s="6"/>
      <c r="B707" s="3"/>
      <c r="C707" s="3"/>
      <c r="D707" s="3"/>
      <c r="E707" s="7"/>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4.4">
      <c r="A708" s="6"/>
      <c r="B708" s="3"/>
      <c r="C708" s="3"/>
      <c r="D708" s="3"/>
      <c r="E708" s="7"/>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4.4">
      <c r="A709" s="6"/>
      <c r="B709" s="3"/>
      <c r="C709" s="3"/>
      <c r="D709" s="3"/>
      <c r="E709" s="7"/>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4.4">
      <c r="A710" s="6"/>
      <c r="B710" s="3"/>
      <c r="C710" s="3"/>
      <c r="D710" s="3"/>
      <c r="E710" s="7"/>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4.4">
      <c r="A711" s="6"/>
      <c r="B711" s="3"/>
      <c r="C711" s="3"/>
      <c r="D711" s="3"/>
      <c r="E711" s="7"/>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4.4">
      <c r="A712" s="6"/>
      <c r="B712" s="3"/>
      <c r="C712" s="3"/>
      <c r="D712" s="3"/>
      <c r="E712" s="7"/>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4.4">
      <c r="A713" s="6"/>
      <c r="B713" s="3"/>
      <c r="C713" s="3"/>
      <c r="D713" s="3"/>
      <c r="E713" s="7"/>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4.4">
      <c r="A714" s="6"/>
      <c r="B714" s="3"/>
      <c r="C714" s="3"/>
      <c r="D714" s="3"/>
      <c r="E714" s="7"/>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4.4">
      <c r="A715" s="6"/>
      <c r="B715" s="3"/>
      <c r="C715" s="3"/>
      <c r="D715" s="3"/>
      <c r="E715" s="7"/>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4.4">
      <c r="A716" s="6"/>
      <c r="B716" s="3"/>
      <c r="C716" s="3"/>
      <c r="D716" s="3"/>
      <c r="E716" s="7"/>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4.4">
      <c r="A717" s="6"/>
      <c r="B717" s="3"/>
      <c r="C717" s="3"/>
      <c r="D717" s="3"/>
      <c r="E717" s="7"/>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4.4">
      <c r="A718" s="6"/>
      <c r="B718" s="3"/>
      <c r="C718" s="3"/>
      <c r="D718" s="3"/>
      <c r="E718" s="7"/>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4.4">
      <c r="A719" s="6"/>
      <c r="B719" s="3"/>
      <c r="C719" s="3"/>
      <c r="D719" s="3"/>
      <c r="E719" s="7"/>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4.4">
      <c r="A720" s="6"/>
      <c r="B720" s="3"/>
      <c r="C720" s="3"/>
      <c r="D720" s="3"/>
      <c r="E720" s="7"/>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4.4">
      <c r="A721" s="6"/>
      <c r="B721" s="3"/>
      <c r="C721" s="3"/>
      <c r="D721" s="3"/>
      <c r="E721" s="7"/>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4.4">
      <c r="A722" s="6"/>
      <c r="B722" s="3"/>
      <c r="C722" s="3"/>
      <c r="D722" s="3"/>
      <c r="E722" s="7"/>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4.4">
      <c r="A723" s="6"/>
      <c r="B723" s="3"/>
      <c r="C723" s="3"/>
      <c r="D723" s="3"/>
      <c r="E723" s="7"/>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4.4">
      <c r="A724" s="6"/>
      <c r="B724" s="3"/>
      <c r="C724" s="3"/>
      <c r="D724" s="3"/>
      <c r="E724" s="7"/>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4.4">
      <c r="A725" s="6"/>
      <c r="B725" s="3"/>
      <c r="C725" s="3"/>
      <c r="D725" s="3"/>
      <c r="E725" s="7"/>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4.4">
      <c r="A726" s="6"/>
      <c r="B726" s="3"/>
      <c r="C726" s="3"/>
      <c r="D726" s="3"/>
      <c r="E726" s="7"/>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4.4">
      <c r="A727" s="6"/>
      <c r="B727" s="3"/>
      <c r="C727" s="3"/>
      <c r="D727" s="3"/>
      <c r="E727" s="7"/>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4.4">
      <c r="A728" s="6"/>
      <c r="B728" s="3"/>
      <c r="C728" s="3"/>
      <c r="D728" s="3"/>
      <c r="E728" s="7"/>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4.4">
      <c r="A729" s="6"/>
      <c r="B729" s="3"/>
      <c r="C729" s="3"/>
      <c r="D729" s="3"/>
      <c r="E729" s="7"/>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4.4">
      <c r="A730" s="6"/>
      <c r="B730" s="3"/>
      <c r="C730" s="3"/>
      <c r="D730" s="3"/>
      <c r="E730" s="7"/>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4.4">
      <c r="A731" s="6"/>
      <c r="B731" s="3"/>
      <c r="C731" s="3"/>
      <c r="D731" s="3"/>
      <c r="E731" s="7"/>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4.4">
      <c r="A732" s="6"/>
      <c r="B732" s="3"/>
      <c r="C732" s="3"/>
      <c r="D732" s="3"/>
      <c r="E732" s="7"/>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4.4">
      <c r="A733" s="6"/>
      <c r="B733" s="3"/>
      <c r="C733" s="3"/>
      <c r="D733" s="3"/>
      <c r="E733" s="7"/>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4.4">
      <c r="A734" s="6"/>
      <c r="B734" s="3"/>
      <c r="C734" s="3"/>
      <c r="D734" s="3"/>
      <c r="E734" s="7"/>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4.4">
      <c r="A735" s="6"/>
      <c r="B735" s="3"/>
      <c r="C735" s="3"/>
      <c r="D735" s="3"/>
      <c r="E735" s="7"/>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4.4">
      <c r="A736" s="6"/>
      <c r="B736" s="3"/>
      <c r="C736" s="3"/>
      <c r="D736" s="3"/>
      <c r="E736" s="7"/>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4.4">
      <c r="A737" s="6"/>
      <c r="B737" s="3"/>
      <c r="C737" s="3"/>
      <c r="D737" s="3"/>
      <c r="E737" s="7"/>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4.4">
      <c r="A738" s="6"/>
      <c r="B738" s="3"/>
      <c r="C738" s="3"/>
      <c r="D738" s="3"/>
      <c r="E738" s="7"/>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4.4">
      <c r="A739" s="6"/>
      <c r="B739" s="3"/>
      <c r="C739" s="3"/>
      <c r="D739" s="3"/>
      <c r="E739" s="7"/>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4.4">
      <c r="A740" s="6"/>
      <c r="B740" s="3"/>
      <c r="C740" s="3"/>
      <c r="D740" s="3"/>
      <c r="E740" s="7"/>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4.4">
      <c r="A741" s="6"/>
      <c r="B741" s="3"/>
      <c r="C741" s="3"/>
      <c r="D741" s="3"/>
      <c r="E741" s="7"/>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4.4">
      <c r="A742" s="6"/>
      <c r="B742" s="3"/>
      <c r="C742" s="3"/>
      <c r="D742" s="3"/>
      <c r="E742" s="7"/>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4.4">
      <c r="A743" s="6"/>
      <c r="B743" s="3"/>
      <c r="C743" s="3"/>
      <c r="D743" s="3"/>
      <c r="E743" s="7"/>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4.4">
      <c r="A744" s="6"/>
      <c r="B744" s="3"/>
      <c r="C744" s="3"/>
      <c r="D744" s="3"/>
      <c r="E744" s="7"/>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4.4">
      <c r="A745" s="6"/>
      <c r="B745" s="3"/>
      <c r="C745" s="3"/>
      <c r="D745" s="3"/>
      <c r="E745" s="7"/>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4.4">
      <c r="A746" s="6"/>
      <c r="B746" s="3"/>
      <c r="C746" s="3"/>
      <c r="D746" s="3"/>
      <c r="E746" s="7"/>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4.4">
      <c r="A747" s="6"/>
      <c r="B747" s="3"/>
      <c r="C747" s="3"/>
      <c r="D747" s="3"/>
      <c r="E747" s="7"/>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4.4">
      <c r="A748" s="6"/>
      <c r="B748" s="3"/>
      <c r="C748" s="3"/>
      <c r="D748" s="3"/>
      <c r="E748" s="7"/>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4.4">
      <c r="A749" s="6"/>
      <c r="B749" s="3"/>
      <c r="C749" s="3"/>
      <c r="D749" s="3"/>
      <c r="E749" s="7"/>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4.4">
      <c r="A750" s="6"/>
      <c r="B750" s="3"/>
      <c r="C750" s="3"/>
      <c r="D750" s="3"/>
      <c r="E750" s="7"/>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4.4">
      <c r="A751" s="6"/>
      <c r="B751" s="3"/>
      <c r="C751" s="3"/>
      <c r="D751" s="3"/>
      <c r="E751" s="7"/>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4.4">
      <c r="A752" s="6"/>
      <c r="B752" s="3"/>
      <c r="C752" s="3"/>
      <c r="D752" s="3"/>
      <c r="E752" s="7"/>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4.4">
      <c r="A753" s="6"/>
      <c r="B753" s="3"/>
      <c r="C753" s="3"/>
      <c r="D753" s="3"/>
      <c r="E753" s="7"/>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4.4">
      <c r="A754" s="6"/>
      <c r="B754" s="3"/>
      <c r="C754" s="3"/>
      <c r="D754" s="3"/>
      <c r="E754" s="7"/>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4.4">
      <c r="A755" s="6"/>
      <c r="B755" s="3"/>
      <c r="C755" s="3"/>
      <c r="D755" s="3"/>
      <c r="E755" s="7"/>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4.4">
      <c r="A756" s="6"/>
      <c r="B756" s="3"/>
      <c r="C756" s="3"/>
      <c r="D756" s="3"/>
      <c r="E756" s="7"/>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4.4">
      <c r="A757" s="6"/>
      <c r="B757" s="3"/>
      <c r="C757" s="3"/>
      <c r="D757" s="3"/>
      <c r="E757" s="7"/>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4.4">
      <c r="A758" s="6"/>
      <c r="B758" s="3"/>
      <c r="C758" s="3"/>
      <c r="D758" s="3"/>
      <c r="E758" s="7"/>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4.4">
      <c r="A759" s="6"/>
      <c r="B759" s="3"/>
      <c r="C759" s="3"/>
      <c r="D759" s="3"/>
      <c r="E759" s="7"/>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4.4">
      <c r="A760" s="6"/>
      <c r="B760" s="3"/>
      <c r="C760" s="3"/>
      <c r="D760" s="3"/>
      <c r="E760" s="7"/>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4.4">
      <c r="A761" s="6"/>
      <c r="B761" s="3"/>
      <c r="C761" s="3"/>
      <c r="D761" s="3"/>
      <c r="E761" s="7"/>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4.4">
      <c r="A762" s="6"/>
      <c r="B762" s="3"/>
      <c r="C762" s="3"/>
      <c r="D762" s="3"/>
      <c r="E762" s="7"/>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4.4">
      <c r="A763" s="6"/>
      <c r="B763" s="3"/>
      <c r="C763" s="3"/>
      <c r="D763" s="3"/>
      <c r="E763" s="7"/>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4.4">
      <c r="A764" s="6"/>
      <c r="B764" s="3"/>
      <c r="C764" s="3"/>
      <c r="D764" s="3"/>
      <c r="E764" s="7"/>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4.4">
      <c r="A765" s="6"/>
      <c r="B765" s="3"/>
      <c r="C765" s="3"/>
      <c r="D765" s="3"/>
      <c r="E765" s="7"/>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4.4">
      <c r="A766" s="6"/>
      <c r="B766" s="3"/>
      <c r="C766" s="3"/>
      <c r="D766" s="3"/>
      <c r="E766" s="7"/>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4.4">
      <c r="A767" s="6"/>
      <c r="B767" s="3"/>
      <c r="C767" s="3"/>
      <c r="D767" s="3"/>
      <c r="E767" s="7"/>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4.4">
      <c r="A768" s="6"/>
      <c r="B768" s="3"/>
      <c r="C768" s="3"/>
      <c r="D768" s="3"/>
      <c r="E768" s="7"/>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4.4">
      <c r="A769" s="6"/>
      <c r="B769" s="3"/>
      <c r="C769" s="3"/>
      <c r="D769" s="3"/>
      <c r="E769" s="7"/>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4.4">
      <c r="A770" s="6"/>
      <c r="B770" s="3"/>
      <c r="C770" s="3"/>
      <c r="D770" s="3"/>
      <c r="E770" s="7"/>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4.4">
      <c r="A771" s="6"/>
      <c r="B771" s="3"/>
      <c r="C771" s="3"/>
      <c r="D771" s="3"/>
      <c r="E771" s="7"/>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4.4">
      <c r="A772" s="6"/>
      <c r="B772" s="3"/>
      <c r="C772" s="3"/>
      <c r="D772" s="3"/>
      <c r="E772" s="7"/>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4.4">
      <c r="A773" s="6"/>
      <c r="B773" s="3"/>
      <c r="C773" s="3"/>
      <c r="D773" s="3"/>
      <c r="E773" s="7"/>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4.4">
      <c r="A774" s="6"/>
      <c r="B774" s="3"/>
      <c r="C774" s="3"/>
      <c r="D774" s="3"/>
      <c r="E774" s="7"/>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4.4">
      <c r="A775" s="6"/>
      <c r="B775" s="3"/>
      <c r="C775" s="3"/>
      <c r="D775" s="3"/>
      <c r="E775" s="7"/>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4.4">
      <c r="A776" s="6"/>
      <c r="B776" s="3"/>
      <c r="C776" s="3"/>
      <c r="D776" s="3"/>
      <c r="E776" s="7"/>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4.4">
      <c r="A777" s="6"/>
      <c r="B777" s="3"/>
      <c r="C777" s="3"/>
      <c r="D777" s="3"/>
      <c r="E777" s="7"/>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4.4">
      <c r="A778" s="6"/>
      <c r="B778" s="3"/>
      <c r="C778" s="3"/>
      <c r="D778" s="3"/>
      <c r="E778" s="7"/>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4.4">
      <c r="A779" s="6"/>
      <c r="B779" s="3"/>
      <c r="C779" s="3"/>
      <c r="D779" s="3"/>
      <c r="E779" s="7"/>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4.4">
      <c r="A780" s="6"/>
      <c r="B780" s="3"/>
      <c r="C780" s="3"/>
      <c r="D780" s="3"/>
      <c r="E780" s="7"/>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4.4">
      <c r="A781" s="6"/>
      <c r="B781" s="3"/>
      <c r="C781" s="3"/>
      <c r="D781" s="3"/>
      <c r="E781" s="7"/>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4.4">
      <c r="A782" s="6"/>
      <c r="B782" s="3"/>
      <c r="C782" s="3"/>
      <c r="D782" s="3"/>
      <c r="E782" s="7"/>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4.4">
      <c r="A783" s="6"/>
      <c r="B783" s="3"/>
      <c r="C783" s="3"/>
      <c r="D783" s="3"/>
      <c r="E783" s="7"/>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4.4">
      <c r="A784" s="6"/>
      <c r="B784" s="3"/>
      <c r="C784" s="3"/>
      <c r="D784" s="3"/>
      <c r="E784" s="7"/>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4.4">
      <c r="A785" s="6"/>
      <c r="B785" s="3"/>
      <c r="C785" s="3"/>
      <c r="D785" s="3"/>
      <c r="E785" s="7"/>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4.4">
      <c r="A786" s="6"/>
      <c r="B786" s="3"/>
      <c r="C786" s="3"/>
      <c r="D786" s="3"/>
      <c r="E786" s="7"/>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4.4">
      <c r="A787" s="6"/>
      <c r="B787" s="3"/>
      <c r="C787" s="3"/>
      <c r="D787" s="3"/>
      <c r="E787" s="7"/>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4.4">
      <c r="A788" s="6"/>
      <c r="B788" s="3"/>
      <c r="C788" s="3"/>
      <c r="D788" s="3"/>
      <c r="E788" s="7"/>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4.4">
      <c r="A789" s="6"/>
      <c r="B789" s="3"/>
      <c r="C789" s="3"/>
      <c r="D789" s="3"/>
      <c r="E789" s="7"/>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4.4">
      <c r="A790" s="6"/>
      <c r="B790" s="3"/>
      <c r="C790" s="3"/>
      <c r="D790" s="3"/>
      <c r="E790" s="7"/>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4.4">
      <c r="A791" s="6"/>
      <c r="B791" s="3"/>
      <c r="C791" s="3"/>
      <c r="D791" s="3"/>
      <c r="E791" s="7"/>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4.4">
      <c r="A792" s="6"/>
      <c r="B792" s="3"/>
      <c r="C792" s="3"/>
      <c r="D792" s="3"/>
      <c r="E792" s="7"/>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4.4">
      <c r="A793" s="6"/>
      <c r="B793" s="3"/>
      <c r="C793" s="3"/>
      <c r="D793" s="3"/>
      <c r="E793" s="7"/>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4.4">
      <c r="A794" s="6"/>
      <c r="B794" s="3"/>
      <c r="C794" s="3"/>
      <c r="D794" s="3"/>
      <c r="E794" s="7"/>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4.4">
      <c r="A795" s="6"/>
      <c r="B795" s="3"/>
      <c r="C795" s="3"/>
      <c r="D795" s="3"/>
      <c r="E795" s="7"/>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4.4">
      <c r="A796" s="6"/>
      <c r="B796" s="3"/>
      <c r="C796" s="3"/>
      <c r="D796" s="3"/>
      <c r="E796" s="7"/>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4.4">
      <c r="A797" s="6"/>
      <c r="B797" s="3"/>
      <c r="C797" s="3"/>
      <c r="D797" s="3"/>
      <c r="E797" s="7"/>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4.4">
      <c r="A798" s="6"/>
      <c r="B798" s="3"/>
      <c r="C798" s="3"/>
      <c r="D798" s="3"/>
      <c r="E798" s="7"/>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4.4">
      <c r="A799" s="6"/>
      <c r="B799" s="3"/>
      <c r="C799" s="3"/>
      <c r="D799" s="3"/>
      <c r="E799" s="7"/>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4.4">
      <c r="A800" s="6"/>
      <c r="B800" s="3"/>
      <c r="C800" s="3"/>
      <c r="D800" s="3"/>
      <c r="E800" s="7"/>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4.4">
      <c r="A801" s="6"/>
      <c r="B801" s="3"/>
      <c r="C801" s="3"/>
      <c r="D801" s="3"/>
      <c r="E801" s="7"/>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4.4">
      <c r="A802" s="6"/>
      <c r="B802" s="3"/>
      <c r="C802" s="3"/>
      <c r="D802" s="3"/>
      <c r="E802" s="7"/>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4.4">
      <c r="A803" s="6"/>
      <c r="B803" s="3"/>
      <c r="C803" s="3"/>
      <c r="D803" s="3"/>
      <c r="E803" s="7"/>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4.4">
      <c r="A804" s="6"/>
      <c r="B804" s="3"/>
      <c r="C804" s="3"/>
      <c r="D804" s="3"/>
      <c r="E804" s="7"/>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4.4">
      <c r="A805" s="6"/>
      <c r="B805" s="3"/>
      <c r="C805" s="3"/>
      <c r="D805" s="3"/>
      <c r="E805" s="7"/>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4.4">
      <c r="A806" s="6"/>
      <c r="B806" s="3"/>
      <c r="C806" s="3"/>
      <c r="D806" s="3"/>
      <c r="E806" s="7"/>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4.4">
      <c r="A807" s="6"/>
      <c r="B807" s="3"/>
      <c r="C807" s="3"/>
      <c r="D807" s="3"/>
      <c r="E807" s="7"/>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4.4">
      <c r="A808" s="6"/>
      <c r="B808" s="3"/>
      <c r="C808" s="3"/>
      <c r="D808" s="3"/>
      <c r="E808" s="7"/>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4.4">
      <c r="A809" s="6"/>
      <c r="B809" s="3"/>
      <c r="C809" s="3"/>
      <c r="D809" s="3"/>
      <c r="E809" s="7"/>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4.4">
      <c r="A810" s="6"/>
      <c r="B810" s="3"/>
      <c r="C810" s="3"/>
      <c r="D810" s="3"/>
      <c r="E810" s="7"/>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4.4">
      <c r="A811" s="6"/>
      <c r="B811" s="3"/>
      <c r="C811" s="3"/>
      <c r="D811" s="3"/>
      <c r="E811" s="7"/>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4.4">
      <c r="A812" s="6"/>
      <c r="B812" s="3"/>
      <c r="C812" s="3"/>
      <c r="D812" s="3"/>
      <c r="E812" s="7"/>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4.4">
      <c r="A813" s="6"/>
      <c r="B813" s="3"/>
      <c r="C813" s="3"/>
      <c r="D813" s="3"/>
      <c r="E813" s="7"/>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4.4">
      <c r="A814" s="6"/>
      <c r="B814" s="3"/>
      <c r="C814" s="3"/>
      <c r="D814" s="3"/>
      <c r="E814" s="7"/>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4.4">
      <c r="A815" s="6"/>
      <c r="B815" s="3"/>
      <c r="C815" s="3"/>
      <c r="D815" s="3"/>
      <c r="E815" s="7"/>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4.4">
      <c r="A816" s="6"/>
      <c r="B816" s="3"/>
      <c r="C816" s="3"/>
      <c r="D816" s="3"/>
      <c r="E816" s="7"/>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4.4">
      <c r="A817" s="6"/>
      <c r="B817" s="3"/>
      <c r="C817" s="3"/>
      <c r="D817" s="3"/>
      <c r="E817" s="7"/>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4.4">
      <c r="A818" s="6"/>
      <c r="B818" s="3"/>
      <c r="C818" s="3"/>
      <c r="D818" s="3"/>
      <c r="E818" s="7"/>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4.4">
      <c r="A819" s="6"/>
      <c r="B819" s="3"/>
      <c r="C819" s="3"/>
      <c r="D819" s="3"/>
      <c r="E819" s="7"/>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4.4">
      <c r="A820" s="6"/>
      <c r="B820" s="3"/>
      <c r="C820" s="3"/>
      <c r="D820" s="3"/>
      <c r="E820" s="7"/>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4.4">
      <c r="A821" s="6"/>
      <c r="B821" s="3"/>
      <c r="C821" s="3"/>
      <c r="D821" s="3"/>
      <c r="E821" s="7"/>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4.4">
      <c r="A822" s="6"/>
      <c r="B822" s="3"/>
      <c r="C822" s="3"/>
      <c r="D822" s="3"/>
      <c r="E822" s="7"/>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4.4">
      <c r="A823" s="6"/>
      <c r="B823" s="3"/>
      <c r="C823" s="3"/>
      <c r="D823" s="3"/>
      <c r="E823" s="7"/>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4.4">
      <c r="A824" s="6"/>
      <c r="B824" s="3"/>
      <c r="C824" s="3"/>
      <c r="D824" s="3"/>
      <c r="E824" s="7"/>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4.4">
      <c r="A825" s="6"/>
      <c r="B825" s="3"/>
      <c r="C825" s="3"/>
      <c r="D825" s="3"/>
      <c r="E825" s="7"/>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4.4">
      <c r="A826" s="6"/>
      <c r="B826" s="3"/>
      <c r="C826" s="3"/>
      <c r="D826" s="3"/>
      <c r="E826" s="7"/>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4.4">
      <c r="A827" s="6"/>
      <c r="B827" s="3"/>
      <c r="C827" s="3"/>
      <c r="D827" s="3"/>
      <c r="E827" s="7"/>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4.4">
      <c r="A828" s="6"/>
      <c r="B828" s="3"/>
      <c r="C828" s="3"/>
      <c r="D828" s="3"/>
      <c r="E828" s="7"/>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4.4">
      <c r="A829" s="6"/>
      <c r="B829" s="3"/>
      <c r="C829" s="3"/>
      <c r="D829" s="3"/>
      <c r="E829" s="7"/>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4.4">
      <c r="A830" s="6"/>
      <c r="B830" s="3"/>
      <c r="C830" s="3"/>
      <c r="D830" s="3"/>
      <c r="E830" s="7"/>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4.4">
      <c r="A831" s="6"/>
      <c r="B831" s="3"/>
      <c r="C831" s="3"/>
      <c r="D831" s="3"/>
      <c r="E831" s="7"/>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4.4">
      <c r="A832" s="6"/>
      <c r="B832" s="3"/>
      <c r="C832" s="3"/>
      <c r="D832" s="3"/>
      <c r="E832" s="7"/>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4.4">
      <c r="A833" s="6"/>
      <c r="B833" s="3"/>
      <c r="C833" s="3"/>
      <c r="D833" s="3"/>
      <c r="E833" s="7"/>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4.4">
      <c r="A834" s="6"/>
      <c r="B834" s="3"/>
      <c r="C834" s="3"/>
      <c r="D834" s="3"/>
      <c r="E834" s="7"/>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4.4">
      <c r="A835" s="6"/>
      <c r="B835" s="3"/>
      <c r="C835" s="3"/>
      <c r="D835" s="3"/>
      <c r="E835" s="7"/>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4.4">
      <c r="A836" s="6"/>
      <c r="B836" s="3"/>
      <c r="C836" s="3"/>
      <c r="D836" s="3"/>
      <c r="E836" s="7"/>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4.4">
      <c r="A837" s="6"/>
      <c r="B837" s="3"/>
      <c r="C837" s="3"/>
      <c r="D837" s="3"/>
      <c r="E837" s="7"/>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4.4">
      <c r="A838" s="6"/>
      <c r="B838" s="3"/>
      <c r="C838" s="3"/>
      <c r="D838" s="3"/>
      <c r="E838" s="7"/>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4.4">
      <c r="A839" s="6"/>
      <c r="B839" s="3"/>
      <c r="C839" s="3"/>
      <c r="D839" s="3"/>
      <c r="E839" s="7"/>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4.4">
      <c r="A840" s="6"/>
      <c r="B840" s="3"/>
      <c r="C840" s="3"/>
      <c r="D840" s="3"/>
      <c r="E840" s="7"/>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4.4">
      <c r="A841" s="6"/>
      <c r="B841" s="3"/>
      <c r="C841" s="3"/>
      <c r="D841" s="3"/>
      <c r="E841" s="7"/>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4.4">
      <c r="A842" s="6"/>
      <c r="B842" s="3"/>
      <c r="C842" s="3"/>
      <c r="D842" s="3"/>
      <c r="E842" s="7"/>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4.4">
      <c r="A843" s="6"/>
      <c r="B843" s="3"/>
      <c r="C843" s="3"/>
      <c r="D843" s="3"/>
      <c r="E843" s="7"/>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4.4">
      <c r="A844" s="6"/>
      <c r="B844" s="3"/>
      <c r="C844" s="3"/>
      <c r="D844" s="3"/>
      <c r="E844" s="7"/>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4.4">
      <c r="A845" s="6"/>
      <c r="B845" s="3"/>
      <c r="C845" s="3"/>
      <c r="D845" s="3"/>
      <c r="E845" s="7"/>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4.4">
      <c r="A846" s="6"/>
      <c r="B846" s="3"/>
      <c r="C846" s="3"/>
      <c r="D846" s="3"/>
      <c r="E846" s="7"/>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4.4">
      <c r="A847" s="6"/>
      <c r="B847" s="3"/>
      <c r="C847" s="3"/>
      <c r="D847" s="3"/>
      <c r="E847" s="7"/>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4.4">
      <c r="A848" s="6"/>
      <c r="B848" s="3"/>
      <c r="C848" s="3"/>
      <c r="D848" s="3"/>
      <c r="E848" s="7"/>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4.4">
      <c r="A849" s="6"/>
      <c r="B849" s="3"/>
      <c r="C849" s="3"/>
      <c r="D849" s="3"/>
      <c r="E849" s="7"/>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4.4">
      <c r="A850" s="6"/>
      <c r="B850" s="3"/>
      <c r="C850" s="3"/>
      <c r="D850" s="3"/>
      <c r="E850" s="7"/>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4.4">
      <c r="A851" s="6"/>
      <c r="B851" s="3"/>
      <c r="C851" s="3"/>
      <c r="D851" s="3"/>
      <c r="E851" s="7"/>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4.4">
      <c r="A852" s="6"/>
      <c r="B852" s="3"/>
      <c r="C852" s="3"/>
      <c r="D852" s="3"/>
      <c r="E852" s="7"/>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4.4">
      <c r="A853" s="6"/>
      <c r="B853" s="3"/>
      <c r="C853" s="3"/>
      <c r="D853" s="3"/>
      <c r="E853" s="7"/>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4.4">
      <c r="A854" s="6"/>
      <c r="B854" s="3"/>
      <c r="C854" s="3"/>
      <c r="D854" s="3"/>
      <c r="E854" s="7"/>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4.4">
      <c r="A855" s="6"/>
      <c r="B855" s="3"/>
      <c r="C855" s="3"/>
      <c r="D855" s="3"/>
      <c r="E855" s="7"/>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4.4">
      <c r="A856" s="6"/>
      <c r="B856" s="3"/>
      <c r="C856" s="3"/>
      <c r="D856" s="3"/>
      <c r="E856" s="7"/>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4.4">
      <c r="A857" s="6"/>
      <c r="B857" s="3"/>
      <c r="C857" s="3"/>
      <c r="D857" s="3"/>
      <c r="E857" s="7"/>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4.4">
      <c r="A858" s="6"/>
      <c r="B858" s="3"/>
      <c r="C858" s="3"/>
      <c r="D858" s="3"/>
      <c r="E858" s="7"/>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4.4">
      <c r="A859" s="6"/>
      <c r="B859" s="3"/>
      <c r="C859" s="3"/>
      <c r="D859" s="3"/>
      <c r="E859" s="7"/>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4.4">
      <c r="A860" s="6"/>
      <c r="B860" s="3"/>
      <c r="C860" s="3"/>
      <c r="D860" s="3"/>
      <c r="E860" s="7"/>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4.4">
      <c r="A861" s="6"/>
      <c r="B861" s="3"/>
      <c r="C861" s="3"/>
      <c r="D861" s="3"/>
      <c r="E861" s="7"/>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4.4">
      <c r="A862" s="6"/>
      <c r="B862" s="3"/>
      <c r="C862" s="3"/>
      <c r="D862" s="3"/>
      <c r="E862" s="7"/>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4.4">
      <c r="A863" s="6"/>
      <c r="B863" s="3"/>
      <c r="C863" s="3"/>
      <c r="D863" s="3"/>
      <c r="E863" s="7"/>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4.4">
      <c r="A864" s="6"/>
      <c r="B864" s="3"/>
      <c r="C864" s="3"/>
      <c r="D864" s="3"/>
      <c r="E864" s="7"/>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4.4">
      <c r="A865" s="6"/>
      <c r="B865" s="3"/>
      <c r="C865" s="3"/>
      <c r="D865" s="3"/>
      <c r="E865" s="7"/>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4.4">
      <c r="A866" s="6"/>
      <c r="B866" s="3"/>
      <c r="C866" s="3"/>
      <c r="D866" s="3"/>
      <c r="E866" s="7"/>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4.4">
      <c r="A867" s="6"/>
      <c r="B867" s="3"/>
      <c r="C867" s="3"/>
      <c r="D867" s="3"/>
      <c r="E867" s="7"/>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4.4">
      <c r="A868" s="6"/>
      <c r="B868" s="3"/>
      <c r="C868" s="3"/>
      <c r="D868" s="3"/>
      <c r="E868" s="7"/>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4.4">
      <c r="A869" s="6"/>
      <c r="B869" s="3"/>
      <c r="C869" s="3"/>
      <c r="D869" s="3"/>
      <c r="E869" s="7"/>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4.4">
      <c r="A870" s="6"/>
      <c r="B870" s="3"/>
      <c r="C870" s="3"/>
      <c r="D870" s="3"/>
      <c r="E870" s="7"/>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4.4">
      <c r="A871" s="6"/>
      <c r="B871" s="3"/>
      <c r="C871" s="3"/>
      <c r="D871" s="3"/>
      <c r="E871" s="7"/>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4.4">
      <c r="A872" s="6"/>
      <c r="B872" s="3"/>
      <c r="C872" s="3"/>
      <c r="D872" s="3"/>
      <c r="E872" s="7"/>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4.4">
      <c r="A873" s="6"/>
      <c r="B873" s="3"/>
      <c r="C873" s="3"/>
      <c r="D873" s="3"/>
      <c r="E873" s="7"/>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4.4">
      <c r="A874" s="6"/>
      <c r="B874" s="3"/>
      <c r="C874" s="3"/>
      <c r="D874" s="3"/>
      <c r="E874" s="7"/>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4.4">
      <c r="A875" s="6"/>
      <c r="B875" s="3"/>
      <c r="C875" s="3"/>
      <c r="D875" s="3"/>
      <c r="E875" s="7"/>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4.4">
      <c r="A876" s="6"/>
      <c r="B876" s="3"/>
      <c r="C876" s="3"/>
      <c r="D876" s="3"/>
      <c r="E876" s="7"/>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4.4">
      <c r="A877" s="6"/>
      <c r="B877" s="3"/>
      <c r="C877" s="3"/>
      <c r="D877" s="3"/>
      <c r="E877" s="7"/>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4.4">
      <c r="A878" s="6"/>
      <c r="B878" s="3"/>
      <c r="C878" s="3"/>
      <c r="D878" s="3"/>
      <c r="E878" s="7"/>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4.4">
      <c r="A879" s="6"/>
      <c r="B879" s="3"/>
      <c r="C879" s="3"/>
      <c r="D879" s="3"/>
      <c r="E879" s="7"/>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4.4">
      <c r="A880" s="6"/>
      <c r="B880" s="3"/>
      <c r="C880" s="3"/>
      <c r="D880" s="3"/>
      <c r="E880" s="7"/>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4.4">
      <c r="A881" s="6"/>
      <c r="B881" s="3"/>
      <c r="C881" s="3"/>
      <c r="D881" s="3"/>
      <c r="E881" s="7"/>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4.4">
      <c r="A882" s="6"/>
      <c r="B882" s="3"/>
      <c r="C882" s="3"/>
      <c r="D882" s="3"/>
      <c r="E882" s="7"/>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4.4">
      <c r="A883" s="6"/>
      <c r="B883" s="3"/>
      <c r="C883" s="3"/>
      <c r="D883" s="3"/>
      <c r="E883" s="7"/>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4.4">
      <c r="A884" s="6"/>
      <c r="B884" s="3"/>
      <c r="C884" s="3"/>
      <c r="D884" s="3"/>
      <c r="E884" s="7"/>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4.4">
      <c r="A885" s="6"/>
      <c r="B885" s="3"/>
      <c r="C885" s="3"/>
      <c r="D885" s="3"/>
      <c r="E885" s="7"/>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4.4">
      <c r="A886" s="6"/>
      <c r="B886" s="3"/>
      <c r="C886" s="3"/>
      <c r="D886" s="3"/>
      <c r="E886" s="7"/>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4.4">
      <c r="A887" s="6"/>
      <c r="B887" s="3"/>
      <c r="C887" s="3"/>
      <c r="D887" s="3"/>
      <c r="E887" s="7"/>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4.4">
      <c r="A888" s="6"/>
      <c r="B888" s="3"/>
      <c r="C888" s="3"/>
      <c r="D888" s="3"/>
      <c r="E888" s="7"/>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4.4">
      <c r="A889" s="6"/>
      <c r="B889" s="3"/>
      <c r="C889" s="3"/>
      <c r="D889" s="3"/>
      <c r="E889" s="7"/>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4.4">
      <c r="A890" s="6"/>
      <c r="B890" s="3"/>
      <c r="C890" s="3"/>
      <c r="D890" s="3"/>
      <c r="E890" s="7"/>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4.4">
      <c r="A891" s="6"/>
      <c r="B891" s="3"/>
      <c r="C891" s="3"/>
      <c r="D891" s="3"/>
      <c r="E891" s="7"/>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4.4">
      <c r="A892" s="6"/>
      <c r="B892" s="3"/>
      <c r="C892" s="3"/>
      <c r="D892" s="3"/>
      <c r="E892" s="7"/>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4.4">
      <c r="A893" s="6"/>
      <c r="B893" s="3"/>
      <c r="C893" s="3"/>
      <c r="D893" s="3"/>
      <c r="E893" s="7"/>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4.4">
      <c r="A894" s="6"/>
      <c r="B894" s="3"/>
      <c r="C894" s="3"/>
      <c r="D894" s="3"/>
      <c r="E894" s="7"/>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4.4">
      <c r="A895" s="6"/>
      <c r="B895" s="3"/>
      <c r="C895" s="3"/>
      <c r="D895" s="3"/>
      <c r="E895" s="7"/>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4.4">
      <c r="A896" s="6"/>
      <c r="B896" s="3"/>
      <c r="C896" s="3"/>
      <c r="D896" s="3"/>
      <c r="E896" s="7"/>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4.4">
      <c r="A897" s="6"/>
      <c r="B897" s="3"/>
      <c r="C897" s="3"/>
      <c r="D897" s="3"/>
      <c r="E897" s="7"/>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4.4">
      <c r="A898" s="6"/>
      <c r="B898" s="3"/>
      <c r="C898" s="3"/>
      <c r="D898" s="3"/>
      <c r="E898" s="7"/>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4.4">
      <c r="A899" s="6"/>
      <c r="B899" s="3"/>
      <c r="C899" s="3"/>
      <c r="D899" s="3"/>
      <c r="E899" s="7"/>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4.4">
      <c r="A900" s="6"/>
      <c r="B900" s="3"/>
      <c r="C900" s="3"/>
      <c r="D900" s="3"/>
      <c r="E900" s="7"/>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4.4">
      <c r="A901" s="6"/>
      <c r="B901" s="3"/>
      <c r="C901" s="3"/>
      <c r="D901" s="3"/>
      <c r="E901" s="7"/>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4.4">
      <c r="A902" s="6"/>
      <c r="B902" s="3"/>
      <c r="C902" s="3"/>
      <c r="D902" s="3"/>
      <c r="E902" s="7"/>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4.4">
      <c r="A903" s="6"/>
      <c r="B903" s="3"/>
      <c r="C903" s="3"/>
      <c r="D903" s="3"/>
      <c r="E903" s="7"/>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4.4">
      <c r="A904" s="6"/>
      <c r="B904" s="3"/>
      <c r="C904" s="3"/>
      <c r="D904" s="3"/>
      <c r="E904" s="7"/>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4.4">
      <c r="A905" s="6"/>
      <c r="B905" s="3"/>
      <c r="C905" s="3"/>
      <c r="D905" s="3"/>
      <c r="E905" s="7"/>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4.4">
      <c r="A906" s="6"/>
      <c r="B906" s="3"/>
      <c r="C906" s="3"/>
      <c r="D906" s="3"/>
      <c r="E906" s="7"/>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4.4">
      <c r="A907" s="6"/>
      <c r="B907" s="3"/>
      <c r="C907" s="3"/>
      <c r="D907" s="3"/>
      <c r="E907" s="7"/>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4.4">
      <c r="A908" s="6"/>
      <c r="B908" s="3"/>
      <c r="C908" s="3"/>
      <c r="D908" s="3"/>
      <c r="E908" s="7"/>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4.4">
      <c r="A909" s="6"/>
      <c r="B909" s="3"/>
      <c r="C909" s="3"/>
      <c r="D909" s="3"/>
      <c r="E909" s="7"/>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4.4">
      <c r="A910" s="6"/>
      <c r="B910" s="3"/>
      <c r="C910" s="3"/>
      <c r="D910" s="3"/>
      <c r="E910" s="7"/>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4.4">
      <c r="A911" s="6"/>
      <c r="B911" s="3"/>
      <c r="C911" s="3"/>
      <c r="D911" s="3"/>
      <c r="E911" s="7"/>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4.4">
      <c r="A912" s="6"/>
      <c r="B912" s="3"/>
      <c r="C912" s="3"/>
      <c r="D912" s="3"/>
      <c r="E912" s="7"/>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4.4">
      <c r="A913" s="6"/>
      <c r="B913" s="3"/>
      <c r="C913" s="3"/>
      <c r="D913" s="3"/>
      <c r="E913" s="7"/>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4.4">
      <c r="A914" s="6"/>
      <c r="B914" s="3"/>
      <c r="C914" s="3"/>
      <c r="D914" s="3"/>
      <c r="E914" s="7"/>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4.4">
      <c r="A915" s="6"/>
      <c r="B915" s="3"/>
      <c r="C915" s="3"/>
      <c r="D915" s="3"/>
      <c r="E915" s="7"/>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4.4">
      <c r="A916" s="6"/>
      <c r="B916" s="3"/>
      <c r="C916" s="3"/>
      <c r="D916" s="3"/>
      <c r="E916" s="7"/>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4.4">
      <c r="A917" s="6"/>
      <c r="B917" s="3"/>
      <c r="C917" s="3"/>
      <c r="D917" s="3"/>
      <c r="E917" s="7"/>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4.4">
      <c r="A918" s="6"/>
      <c r="B918" s="3"/>
      <c r="C918" s="3"/>
      <c r="D918" s="3"/>
      <c r="E918" s="7"/>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4.4">
      <c r="A919" s="6"/>
      <c r="B919" s="3"/>
      <c r="C919" s="3"/>
      <c r="D919" s="3"/>
      <c r="E919" s="7"/>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4.4">
      <c r="A920" s="6"/>
      <c r="B920" s="3"/>
      <c r="C920" s="3"/>
      <c r="D920" s="3"/>
      <c r="E920" s="7"/>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4.4">
      <c r="A921" s="6"/>
      <c r="B921" s="3"/>
      <c r="C921" s="3"/>
      <c r="D921" s="3"/>
      <c r="E921" s="7"/>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4.4">
      <c r="A922" s="6"/>
      <c r="B922" s="3"/>
      <c r="C922" s="3"/>
      <c r="D922" s="3"/>
      <c r="E922" s="7"/>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4.4">
      <c r="A923" s="6"/>
      <c r="B923" s="3"/>
      <c r="C923" s="3"/>
      <c r="D923" s="3"/>
      <c r="E923" s="7"/>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4.4">
      <c r="A924" s="6"/>
      <c r="B924" s="3"/>
      <c r="C924" s="3"/>
      <c r="D924" s="3"/>
      <c r="E924" s="7"/>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4.4">
      <c r="A925" s="6"/>
      <c r="B925" s="3"/>
      <c r="C925" s="3"/>
      <c r="D925" s="3"/>
      <c r="E925" s="7"/>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4.4">
      <c r="A926" s="6"/>
      <c r="B926" s="3"/>
      <c r="C926" s="3"/>
      <c r="D926" s="3"/>
      <c r="E926" s="7"/>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4.4">
      <c r="A927" s="6"/>
      <c r="B927" s="3"/>
      <c r="C927" s="3"/>
      <c r="D927" s="3"/>
      <c r="E927" s="7"/>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4.4">
      <c r="A928" s="6"/>
      <c r="B928" s="3"/>
      <c r="C928" s="3"/>
      <c r="D928" s="3"/>
      <c r="E928" s="7"/>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4.4">
      <c r="A929" s="6"/>
      <c r="B929" s="3"/>
      <c r="C929" s="3"/>
      <c r="D929" s="3"/>
      <c r="E929" s="7"/>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4.4">
      <c r="A930" s="6"/>
      <c r="B930" s="3"/>
      <c r="C930" s="3"/>
      <c r="D930" s="3"/>
      <c r="E930" s="7"/>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4.4">
      <c r="A931" s="6"/>
      <c r="B931" s="3"/>
      <c r="C931" s="3"/>
      <c r="D931" s="3"/>
      <c r="E931" s="7"/>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4.4">
      <c r="A932" s="6"/>
      <c r="B932" s="3"/>
      <c r="C932" s="3"/>
      <c r="D932" s="3"/>
      <c r="E932" s="7"/>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4.4">
      <c r="A933" s="6"/>
      <c r="B933" s="3"/>
      <c r="C933" s="3"/>
      <c r="D933" s="3"/>
      <c r="E933" s="7"/>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4.4">
      <c r="A934" s="6"/>
      <c r="B934" s="3"/>
      <c r="C934" s="3"/>
      <c r="D934" s="3"/>
      <c r="E934" s="7"/>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4.4">
      <c r="A935" s="6"/>
      <c r="B935" s="3"/>
      <c r="C935" s="3"/>
      <c r="D935" s="3"/>
      <c r="E935" s="7"/>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4.4">
      <c r="A936" s="6"/>
      <c r="B936" s="3"/>
      <c r="C936" s="3"/>
      <c r="D936" s="3"/>
      <c r="E936" s="7"/>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4.4">
      <c r="A937" s="6"/>
      <c r="B937" s="3"/>
      <c r="C937" s="3"/>
      <c r="D937" s="3"/>
      <c r="E937" s="7"/>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4.4">
      <c r="A938" s="6"/>
      <c r="B938" s="3"/>
      <c r="C938" s="3"/>
      <c r="D938" s="3"/>
      <c r="E938" s="7"/>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4.4">
      <c r="A939" s="6"/>
      <c r="B939" s="3"/>
      <c r="C939" s="3"/>
      <c r="D939" s="3"/>
      <c r="E939" s="7"/>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4.4">
      <c r="A940" s="6"/>
      <c r="B940" s="3"/>
      <c r="C940" s="3"/>
      <c r="D940" s="3"/>
      <c r="E940" s="7"/>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4.4">
      <c r="A941" s="6"/>
      <c r="B941" s="3"/>
      <c r="C941" s="3"/>
      <c r="D941" s="3"/>
      <c r="E941" s="7"/>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4.4">
      <c r="A942" s="6"/>
      <c r="B942" s="3"/>
      <c r="C942" s="3"/>
      <c r="D942" s="3"/>
      <c r="E942" s="7"/>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4.4">
      <c r="A943" s="6"/>
      <c r="B943" s="3"/>
      <c r="C943" s="3"/>
      <c r="D943" s="3"/>
      <c r="E943" s="7"/>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4.4">
      <c r="A944" s="6"/>
      <c r="B944" s="3"/>
      <c r="C944" s="3"/>
      <c r="D944" s="3"/>
      <c r="E944" s="7"/>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4.4">
      <c r="A945" s="6"/>
      <c r="B945" s="3"/>
      <c r="C945" s="3"/>
      <c r="D945" s="3"/>
      <c r="E945" s="7"/>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4.4">
      <c r="A946" s="6"/>
      <c r="B946" s="3"/>
      <c r="C946" s="3"/>
      <c r="D946" s="3"/>
      <c r="E946" s="7"/>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4.4">
      <c r="A947" s="6"/>
      <c r="B947" s="3"/>
      <c r="C947" s="3"/>
      <c r="D947" s="3"/>
      <c r="E947" s="7"/>
      <c r="G947" s="3"/>
      <c r="H947" s="3"/>
      <c r="I947" s="3"/>
      <c r="J947" s="3"/>
      <c r="K947" s="3"/>
      <c r="L947" s="3"/>
      <c r="M947" s="3"/>
      <c r="N947" s="3"/>
      <c r="O947" s="3"/>
      <c r="P947" s="3"/>
      <c r="Q947" s="3"/>
      <c r="R947" s="3"/>
      <c r="S947" s="3"/>
      <c r="T947" s="3"/>
      <c r="U947" s="3"/>
      <c r="V947" s="3"/>
      <c r="W947" s="3"/>
      <c r="X947" s="3"/>
      <c r="Y947" s="3"/>
      <c r="Z947" s="3"/>
      <c r="AA947" s="3"/>
      <c r="AB947" s="3"/>
      <c r="AC947" s="3"/>
      <c r="AD947" s="3"/>
    </row>
  </sheetData>
  <autoFilter ref="D1:D947" xr:uid="{00000000-0009-0000-0000-000000000000}"/>
  <mergeCells count="5">
    <mergeCell ref="A2:A6"/>
    <mergeCell ref="A8:A10"/>
    <mergeCell ref="A16:A18"/>
    <mergeCell ref="A22:A23"/>
    <mergeCell ref="A25:A27"/>
  </mergeCells>
  <conditionalFormatting sqref="E1">
    <cfRule type="expression" dxfId="76" priority="10">
      <formula>COUNTIF(D:D,H1)&gt;1</formula>
    </cfRule>
  </conditionalFormatting>
  <conditionalFormatting sqref="G24 H21">
    <cfRule type="expression" dxfId="75" priority="9">
      <formula>COUNTIF(G:G,G21)&gt;1</formula>
    </cfRule>
  </conditionalFormatting>
  <conditionalFormatting sqref="F10">
    <cfRule type="expression" dxfId="74" priority="7">
      <formula>COUNTIF(G:G,G10)&gt;1</formula>
    </cfRule>
  </conditionalFormatting>
  <conditionalFormatting sqref="B16:B17">
    <cfRule type="duplicateValues" dxfId="73" priority="4"/>
  </conditionalFormatting>
  <conditionalFormatting sqref="B26 B28:B30">
    <cfRule type="duplicateValues" dxfId="72" priority="11"/>
  </conditionalFormatting>
  <conditionalFormatting sqref="B20">
    <cfRule type="duplicateValues" dxfId="71" priority="3"/>
  </conditionalFormatting>
  <conditionalFormatting sqref="D32 B32">
    <cfRule type="expression" dxfId="70" priority="2">
      <formula>COUNTIF(B:B,B32)&gt;1</formula>
    </cfRule>
  </conditionalFormatting>
  <conditionalFormatting sqref="B1:B1048576">
    <cfRule type="duplicateValues" dxfId="69" priority="1"/>
  </conditionalFormatting>
  <conditionalFormatting sqref="B2:B6">
    <cfRule type="duplicateValues" dxfId="68" priority="647"/>
  </conditionalFormatting>
  <conditionalFormatting sqref="B8:B10">
    <cfRule type="duplicateValues" dxfId="67" priority="739"/>
  </conditionalFormatting>
  <conditionalFormatting sqref="H12">
    <cfRule type="duplicateValues" dxfId="66" priority="746"/>
  </conditionalFormatting>
  <conditionalFormatting sqref="B1">
    <cfRule type="expression" dxfId="11" priority="819">
      <formula>COUNTIF($B$2:$B$938,$B2)&gt;1</formula>
    </cfRule>
  </conditionalFormatting>
  <dataValidations count="1">
    <dataValidation type="list" allowBlank="1" showErrorMessage="1" sqref="C24:C25 E28:E29 H16 H20 D21 F5 H10" xr:uid="{24859196-566E-453B-81A7-4D0DCF04FEAF}">
      <formula1>"YES,NO"</formula1>
    </dataValidation>
  </dataValidations>
  <hyperlinks>
    <hyperlink ref="E10" r:id="rId1" xr:uid="{84E38DF2-E244-4929-9B4F-69025D18D34C}"/>
    <hyperlink ref="E18" r:id="rId2" xr:uid="{A48BC031-9263-4153-8C4D-CDEE73C85F2E}"/>
    <hyperlink ref="E20" r:id="rId3" xr:uid="{8F679123-F1DB-4A52-8A73-6CA7CB0FE2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126D-536C-42BF-B753-6DF97129CDE1}">
  <sheetPr>
    <outlinePr summaryBelow="0" summaryRight="0"/>
  </sheetPr>
  <dimension ref="A1:AD964"/>
  <sheetViews>
    <sheetView workbookViewId="0">
      <pane ySplit="1" topLeftCell="A13" activePane="bottomLeft" state="frozen"/>
      <selection pane="bottomLeft" activeCell="M15" sqref="M15"/>
    </sheetView>
  </sheetViews>
  <sheetFormatPr defaultColWidth="12.6640625" defaultRowHeight="15.75" customHeight="1"/>
  <cols>
    <col min="1" max="1" width="12.6640625" customWidth="1"/>
    <col min="2" max="2" width="81.109375" customWidth="1"/>
    <col min="3" max="3" width="6.88671875" customWidth="1"/>
    <col min="4" max="4" width="10.88671875" customWidth="1"/>
    <col min="5" max="6" width="14.33203125" customWidth="1"/>
    <col min="7" max="7" width="25.77734375" customWidth="1"/>
    <col min="8" max="8" width="24.88671875" customWidth="1"/>
    <col min="9" max="9" width="29.5546875" customWidth="1"/>
    <col min="10" max="10" width="7.21875" customWidth="1"/>
    <col min="11" max="11" width="20.21875" customWidth="1"/>
    <col min="12" max="12" width="25" customWidth="1"/>
    <col min="13" max="13" width="25.6640625" customWidth="1"/>
    <col min="14" max="14" width="25" customWidth="1"/>
    <col min="15" max="15" width="25.6640625" customWidth="1"/>
    <col min="16" max="16" width="25.44140625" customWidth="1"/>
  </cols>
  <sheetData>
    <row r="1" spans="1:30" s="113" customFormat="1" ht="15.6">
      <c r="A1" s="1" t="s">
        <v>0</v>
      </c>
      <c r="B1" s="1" t="s">
        <v>1075</v>
      </c>
      <c r="C1" s="1" t="s">
        <v>2</v>
      </c>
      <c r="D1" s="1" t="s">
        <v>997</v>
      </c>
      <c r="E1" s="1" t="s">
        <v>3</v>
      </c>
      <c r="F1" s="112" t="s">
        <v>1072</v>
      </c>
      <c r="G1" s="1" t="s">
        <v>4</v>
      </c>
      <c r="H1" s="1" t="s">
        <v>5</v>
      </c>
      <c r="I1" s="1" t="s">
        <v>6</v>
      </c>
      <c r="J1" s="1" t="s">
        <v>7</v>
      </c>
      <c r="K1" s="1" t="s">
        <v>8</v>
      </c>
      <c r="L1" s="1" t="s">
        <v>9</v>
      </c>
      <c r="M1" s="1" t="s">
        <v>10</v>
      </c>
      <c r="N1" s="1" t="s">
        <v>11</v>
      </c>
      <c r="O1" s="1" t="s">
        <v>12</v>
      </c>
      <c r="P1" s="1" t="s">
        <v>13</v>
      </c>
      <c r="Q1" s="1" t="s">
        <v>14</v>
      </c>
      <c r="R1" s="2"/>
      <c r="S1" s="2"/>
      <c r="T1" s="2"/>
      <c r="U1" s="2"/>
      <c r="V1" s="2"/>
      <c r="W1" s="2"/>
      <c r="X1" s="2"/>
      <c r="Y1" s="2"/>
      <c r="Z1" s="2"/>
      <c r="AA1" s="2"/>
      <c r="AB1" s="2"/>
      <c r="AC1" s="2"/>
      <c r="AD1" s="2"/>
    </row>
    <row r="2" spans="1:30" ht="15.75" customHeight="1">
      <c r="A2" s="111" t="s">
        <v>15</v>
      </c>
      <c r="B2" t="s">
        <v>50</v>
      </c>
      <c r="C2" t="s">
        <v>987</v>
      </c>
      <c r="D2" t="s">
        <v>16</v>
      </c>
      <c r="E2" s="60" t="str">
        <f>HYPERLINK("https://doi.org/" &amp; F2, "https://doi.org/" &amp; F2)</f>
        <v>https://doi.org/10.1109/TIFS.2024.3388976</v>
      </c>
      <c r="F2" t="s">
        <v>65</v>
      </c>
      <c r="G2" t="s">
        <v>51</v>
      </c>
      <c r="H2" t="s">
        <v>59</v>
      </c>
      <c r="I2" t="s">
        <v>72</v>
      </c>
      <c r="J2">
        <v>2024</v>
      </c>
      <c r="K2" s="101"/>
      <c r="L2" s="101"/>
      <c r="M2" s="103"/>
      <c r="N2" s="101"/>
      <c r="O2" s="101"/>
      <c r="P2" s="101"/>
      <c r="Q2" s="101"/>
      <c r="R2" s="101"/>
      <c r="S2" s="101"/>
      <c r="T2" s="101"/>
      <c r="U2" s="101"/>
      <c r="V2" s="101"/>
      <c r="W2" s="101"/>
      <c r="X2" s="101"/>
      <c r="Y2" s="101"/>
      <c r="Z2" s="101"/>
      <c r="AA2" s="101"/>
      <c r="AB2" s="101"/>
      <c r="AC2" s="3"/>
      <c r="AD2" s="3"/>
    </row>
    <row r="3" spans="1:30" ht="14.4">
      <c r="A3" s="111"/>
      <c r="B3" t="s">
        <v>54</v>
      </c>
      <c r="C3" t="s">
        <v>988</v>
      </c>
      <c r="D3" t="s">
        <v>16</v>
      </c>
      <c r="E3" s="60" t="str">
        <f>HYPERLINK("https://doi.org/" &amp; F3, "https://doi.org/" &amp; F3)</f>
        <v>https://doi.org/10.1109/TII.2024.3396268</v>
      </c>
      <c r="F3" t="s">
        <v>67</v>
      </c>
      <c r="G3" t="s">
        <v>55</v>
      </c>
      <c r="H3" t="s">
        <v>61</v>
      </c>
      <c r="I3" s="101"/>
      <c r="J3">
        <v>2024</v>
      </c>
      <c r="K3" s="101"/>
      <c r="L3" s="101"/>
      <c r="M3" s="101"/>
      <c r="N3" s="101"/>
      <c r="O3" s="101"/>
      <c r="P3" s="101"/>
      <c r="Q3" s="101"/>
      <c r="R3" s="101"/>
      <c r="S3" s="101"/>
      <c r="T3" s="101"/>
      <c r="U3" s="101"/>
      <c r="V3" s="101"/>
      <c r="W3" s="101"/>
      <c r="X3" s="101"/>
      <c r="Y3" s="101"/>
      <c r="Z3" s="101"/>
      <c r="AA3" s="101"/>
      <c r="AB3" s="101"/>
      <c r="AC3" s="3"/>
      <c r="AD3" s="3"/>
    </row>
    <row r="4" spans="1:30" ht="14.4">
      <c r="A4" s="111"/>
      <c r="B4" t="s">
        <v>80</v>
      </c>
      <c r="C4" t="s">
        <v>989</v>
      </c>
      <c r="D4" t="s">
        <v>16</v>
      </c>
      <c r="E4" s="60" t="str">
        <f>HYPERLINK("https://doi.org/" &amp; F4, "https://doi.org/" &amp; F4)</f>
        <v>https://doi.org/10.1109/ACCESS.2024.3519441</v>
      </c>
      <c r="F4" t="s">
        <v>89</v>
      </c>
      <c r="G4" t="s">
        <v>81</v>
      </c>
      <c r="H4" t="s">
        <v>85</v>
      </c>
      <c r="I4" s="101"/>
      <c r="J4">
        <v>2025</v>
      </c>
      <c r="K4" s="101"/>
      <c r="L4" s="101"/>
      <c r="M4" s="101"/>
      <c r="N4" s="101"/>
      <c r="O4" s="101"/>
      <c r="P4" s="101"/>
      <c r="Q4" s="101"/>
      <c r="R4" s="101"/>
      <c r="S4" s="101"/>
      <c r="T4" s="101"/>
      <c r="U4" s="101"/>
      <c r="V4" s="101"/>
      <c r="W4" s="101"/>
      <c r="X4" s="101"/>
      <c r="Y4" s="101"/>
      <c r="Z4" s="101"/>
      <c r="AA4" s="101"/>
      <c r="AB4" s="101"/>
      <c r="AC4" s="3"/>
      <c r="AD4" s="3"/>
    </row>
    <row r="5" spans="1:30" ht="14.4">
      <c r="A5" s="111"/>
      <c r="B5" t="s">
        <v>140</v>
      </c>
      <c r="C5" t="s">
        <v>18</v>
      </c>
      <c r="D5" t="s">
        <v>16</v>
      </c>
      <c r="E5" s="60" t="str">
        <f>HYPERLINK("https://doi.org/" &amp; F5, "https://doi.org/" &amp; F5)</f>
        <v>https://doi.org/10.1109/IAICT62357.2024.10617839</v>
      </c>
      <c r="F5" t="s">
        <v>159</v>
      </c>
      <c r="G5" t="s">
        <v>141</v>
      </c>
      <c r="H5" t="s">
        <v>152</v>
      </c>
      <c r="I5" s="104"/>
      <c r="J5">
        <v>2024</v>
      </c>
      <c r="K5" s="101"/>
      <c r="L5" s="101"/>
      <c r="M5" s="101"/>
      <c r="N5" s="101"/>
      <c r="O5" s="101"/>
      <c r="P5" s="101"/>
      <c r="Q5" s="101"/>
      <c r="R5" s="101"/>
      <c r="S5" s="101"/>
      <c r="T5" s="101"/>
      <c r="U5" s="101"/>
      <c r="V5" s="101"/>
      <c r="W5" s="101"/>
      <c r="X5" s="101"/>
      <c r="Y5" s="101"/>
      <c r="Z5" s="101"/>
      <c r="AA5" s="101"/>
      <c r="AB5" s="101"/>
      <c r="AC5" s="3"/>
      <c r="AD5" s="3"/>
    </row>
    <row r="6" spans="1:30" ht="14.4">
      <c r="A6" s="111"/>
      <c r="B6" t="s">
        <v>181</v>
      </c>
      <c r="C6" t="s">
        <v>990</v>
      </c>
      <c r="D6" t="s">
        <v>16</v>
      </c>
      <c r="E6" s="60" t="str">
        <f>HYPERLINK("https://doi.org/" &amp; F6, "https://doi.org/" &amp; F6)</f>
        <v>https://doi.org/10.1109/ACCESS.2024.3495505</v>
      </c>
      <c r="F6" t="s">
        <v>184</v>
      </c>
      <c r="G6" t="s">
        <v>182</v>
      </c>
      <c r="H6" t="s">
        <v>183</v>
      </c>
      <c r="I6" s="104"/>
      <c r="J6">
        <v>2024</v>
      </c>
      <c r="K6" s="101"/>
      <c r="L6" s="101"/>
      <c r="M6" s="101"/>
      <c r="N6" s="101"/>
      <c r="O6" s="101"/>
      <c r="P6" s="101"/>
      <c r="Q6" s="101"/>
      <c r="R6" s="101"/>
      <c r="S6" s="101"/>
      <c r="T6" s="101"/>
      <c r="U6" s="101"/>
      <c r="V6" s="101"/>
      <c r="W6" s="101"/>
      <c r="X6" s="101"/>
      <c r="Y6" s="101"/>
      <c r="Z6" s="101"/>
      <c r="AA6" s="101"/>
      <c r="AB6" s="101"/>
      <c r="AC6" s="3"/>
      <c r="AD6" s="3"/>
    </row>
    <row r="7" spans="1:30" ht="14.4">
      <c r="A7" s="111"/>
      <c r="B7" t="s">
        <v>232</v>
      </c>
      <c r="C7" t="s">
        <v>991</v>
      </c>
      <c r="D7" t="s">
        <v>16</v>
      </c>
      <c r="E7" s="60" t="str">
        <f>HYPERLINK("https://doi.org/" &amp; F7, "https://doi.org/" &amp; F7)</f>
        <v>https://doi.org/10.1109/IV64158.2025.11097691</v>
      </c>
      <c r="F7" t="s">
        <v>235</v>
      </c>
      <c r="G7" t="s">
        <v>233</v>
      </c>
      <c r="H7" t="s">
        <v>234</v>
      </c>
      <c r="I7" s="101"/>
      <c r="J7">
        <v>2025</v>
      </c>
      <c r="K7" s="101"/>
      <c r="L7" s="101"/>
      <c r="M7" s="101"/>
      <c r="N7" s="101"/>
      <c r="O7" s="101"/>
      <c r="P7" s="101"/>
      <c r="Q7" s="101"/>
      <c r="R7" s="101"/>
      <c r="S7" s="101"/>
      <c r="T7" s="101"/>
      <c r="U7" s="101"/>
      <c r="V7" s="101"/>
      <c r="W7" s="101"/>
      <c r="X7" s="101"/>
      <c r="Y7" s="101"/>
      <c r="Z7" s="101"/>
      <c r="AA7" s="101"/>
      <c r="AB7" s="101"/>
      <c r="AC7" s="3"/>
      <c r="AD7" s="3"/>
    </row>
    <row r="8" spans="1:30" ht="14.4">
      <c r="A8" s="111"/>
      <c r="B8" t="s">
        <v>105</v>
      </c>
      <c r="C8" t="s">
        <v>17</v>
      </c>
      <c r="D8" t="s">
        <v>16</v>
      </c>
      <c r="E8" s="60" t="str">
        <f>HYPERLINK("https://doi.org/" &amp; F8, "https://doi.org/" &amp; F8)</f>
        <v>https://doi.org/10.1109/JIOT.2021.3089080</v>
      </c>
      <c r="F8" t="s">
        <v>124</v>
      </c>
      <c r="G8" t="s">
        <v>106</v>
      </c>
      <c r="H8" t="s">
        <v>116</v>
      </c>
      <c r="I8" s="101"/>
      <c r="J8">
        <v>2022</v>
      </c>
      <c r="K8" s="106"/>
      <c r="L8" s="101"/>
      <c r="M8" s="101"/>
      <c r="N8" s="101"/>
      <c r="O8" s="101"/>
      <c r="P8" s="101"/>
      <c r="Q8" s="101"/>
      <c r="R8" s="101"/>
      <c r="S8" s="101"/>
      <c r="T8" s="101"/>
      <c r="U8" s="101"/>
      <c r="V8" s="101"/>
      <c r="W8" s="101"/>
      <c r="X8" s="101"/>
      <c r="Y8" s="101"/>
      <c r="Z8" s="101"/>
      <c r="AA8" s="101"/>
      <c r="AB8" s="101"/>
      <c r="AC8" s="3"/>
      <c r="AD8" s="3"/>
    </row>
    <row r="9" spans="1:30" ht="15">
      <c r="A9" s="90"/>
      <c r="B9" s="101"/>
      <c r="C9" s="101"/>
      <c r="D9" s="105"/>
      <c r="E9" s="60"/>
      <c r="G9" s="101"/>
      <c r="H9" s="101"/>
      <c r="I9" s="104"/>
      <c r="J9" s="101"/>
      <c r="K9" s="107"/>
      <c r="L9" s="101"/>
      <c r="M9" s="101"/>
      <c r="N9" s="101"/>
      <c r="O9" s="101"/>
      <c r="P9" s="101"/>
      <c r="Q9" s="101"/>
      <c r="R9" s="101"/>
      <c r="S9" s="101"/>
      <c r="T9" s="101"/>
      <c r="U9" s="101"/>
      <c r="V9" s="101"/>
      <c r="W9" s="101"/>
      <c r="X9" s="101"/>
      <c r="Y9" s="101"/>
      <c r="Z9" s="101"/>
      <c r="AA9" s="101"/>
      <c r="AB9" s="101"/>
      <c r="AC9" s="3"/>
      <c r="AD9" s="3"/>
    </row>
    <row r="10" spans="1:30" ht="14.4">
      <c r="A10" s="6"/>
      <c r="B10" s="101"/>
      <c r="C10" s="101"/>
      <c r="D10" s="101"/>
      <c r="E10" s="60"/>
      <c r="G10" s="101"/>
      <c r="H10" s="101"/>
      <c r="I10" s="101"/>
      <c r="J10" s="101"/>
      <c r="K10" s="101"/>
      <c r="L10" s="101"/>
      <c r="M10" s="101"/>
      <c r="N10" s="101"/>
      <c r="O10" s="101"/>
      <c r="P10" s="101"/>
      <c r="Q10" s="101"/>
      <c r="R10" s="101"/>
      <c r="S10" s="101"/>
      <c r="T10" s="101"/>
      <c r="U10" s="101"/>
      <c r="V10" s="101"/>
      <c r="W10" s="101"/>
      <c r="X10" s="101"/>
      <c r="Y10" s="101"/>
      <c r="Z10" s="101"/>
      <c r="AA10" s="101"/>
      <c r="AB10" s="101"/>
      <c r="AC10" s="3"/>
      <c r="AD10" s="3"/>
    </row>
    <row r="11" spans="1:30" ht="14.4">
      <c r="A11" s="115" t="s">
        <v>20</v>
      </c>
      <c r="B11" t="s">
        <v>467</v>
      </c>
      <c r="C11" t="s">
        <v>943</v>
      </c>
      <c r="D11" s="59" t="s">
        <v>19</v>
      </c>
      <c r="E11" s="60" t="str">
        <f t="shared" ref="E11:E14" si="0">HYPERLINK("https://doi.org/" &amp; F11, "https://doi.org/" &amp; F11)</f>
        <v>https://doi.org/10.1145/3472669</v>
      </c>
      <c r="F11" s="59" t="s">
        <v>468</v>
      </c>
      <c r="G11" t="s">
        <v>487</v>
      </c>
      <c r="H11" t="s">
        <v>488</v>
      </c>
      <c r="I11" s="15" t="s">
        <v>489</v>
      </c>
      <c r="J11" s="59">
        <v>2022</v>
      </c>
      <c r="K11" s="101"/>
      <c r="L11" s="101"/>
      <c r="M11" s="101"/>
      <c r="N11" s="106"/>
      <c r="O11" s="101"/>
      <c r="P11" s="101"/>
      <c r="Q11" s="101"/>
      <c r="R11" s="101"/>
      <c r="S11" s="101"/>
      <c r="T11" s="101"/>
      <c r="U11" s="101"/>
      <c r="V11" s="101"/>
      <c r="W11" s="101"/>
      <c r="X11" s="101"/>
      <c r="Y11" s="101"/>
      <c r="Z11" s="101"/>
      <c r="AA11" s="101"/>
      <c r="AB11" s="101"/>
      <c r="AC11" s="3"/>
      <c r="AD11" s="3"/>
    </row>
    <row r="12" spans="1:30" ht="14.4">
      <c r="A12" s="115"/>
      <c r="B12" t="s">
        <v>471</v>
      </c>
      <c r="C12" t="s">
        <v>945</v>
      </c>
      <c r="D12" t="s">
        <v>19</v>
      </c>
      <c r="E12" s="60" t="str">
        <f t="shared" si="0"/>
        <v>https://doi.org/10.1145/3503161.3548766</v>
      </c>
      <c r="F12" s="59" t="s">
        <v>472</v>
      </c>
      <c r="G12" t="s">
        <v>493</v>
      </c>
      <c r="H12" t="s">
        <v>494</v>
      </c>
      <c r="I12" s="15" t="s">
        <v>495</v>
      </c>
      <c r="J12" s="59">
        <v>2022</v>
      </c>
      <c r="K12" s="101"/>
      <c r="L12" s="101"/>
      <c r="M12" s="106"/>
      <c r="N12" s="101"/>
      <c r="O12" s="101"/>
      <c r="P12" s="101"/>
      <c r="Q12" s="101"/>
      <c r="R12" s="101"/>
      <c r="S12" s="101"/>
      <c r="T12" s="101"/>
      <c r="U12" s="101"/>
      <c r="V12" s="101"/>
      <c r="W12" s="101"/>
      <c r="X12" s="101"/>
      <c r="Y12" s="101"/>
      <c r="Z12" s="101"/>
      <c r="AA12" s="101"/>
      <c r="AB12" s="101"/>
      <c r="AC12" s="3"/>
      <c r="AD12" s="3"/>
    </row>
    <row r="13" spans="1:30" ht="14.4">
      <c r="A13" s="115"/>
      <c r="B13" t="s">
        <v>477</v>
      </c>
      <c r="C13" t="s">
        <v>948</v>
      </c>
      <c r="D13" t="s">
        <v>16</v>
      </c>
      <c r="E13" s="60" t="str">
        <f t="shared" si="0"/>
        <v>https://doi.org/10.1145/3715014.3722069</v>
      </c>
      <c r="F13" s="83" t="s">
        <v>478</v>
      </c>
      <c r="G13" t="s">
        <v>502</v>
      </c>
      <c r="H13" t="s">
        <v>503</v>
      </c>
      <c r="I13" s="15" t="s">
        <v>504</v>
      </c>
      <c r="J13" s="59">
        <v>2025</v>
      </c>
      <c r="K13" s="101"/>
      <c r="L13" s="101"/>
      <c r="M13" s="101"/>
      <c r="N13" s="101"/>
      <c r="O13" s="101"/>
      <c r="P13" s="101"/>
      <c r="Q13" s="101"/>
      <c r="R13" s="101"/>
      <c r="S13" s="101"/>
      <c r="T13" s="101"/>
      <c r="U13" s="101"/>
      <c r="V13" s="101"/>
      <c r="W13" s="101"/>
      <c r="X13" s="101"/>
      <c r="Y13" s="101"/>
      <c r="Z13" s="101"/>
      <c r="AA13" s="101"/>
      <c r="AB13" s="101"/>
      <c r="AC13" s="3"/>
      <c r="AD13" s="3"/>
    </row>
    <row r="14" spans="1:30" ht="14.4">
      <c r="A14" s="115"/>
      <c r="B14" s="59" t="s">
        <v>481</v>
      </c>
      <c r="C14" t="s">
        <v>950</v>
      </c>
      <c r="D14" t="s">
        <v>16</v>
      </c>
      <c r="E14" s="60" t="str">
        <f t="shared" si="0"/>
        <v>https://doi.org/10.1145/3664647.3681262</v>
      </c>
      <c r="F14" s="59" t="s">
        <v>482</v>
      </c>
      <c r="G14" t="s">
        <v>508</v>
      </c>
      <c r="H14" t="s">
        <v>509</v>
      </c>
      <c r="I14" s="15" t="s">
        <v>510</v>
      </c>
      <c r="J14" s="59">
        <v>2024</v>
      </c>
      <c r="K14" s="101"/>
      <c r="L14" s="101"/>
      <c r="M14" s="101"/>
      <c r="N14" s="101"/>
      <c r="O14" s="101"/>
      <c r="P14" s="101"/>
      <c r="Q14" s="101"/>
      <c r="R14" s="101"/>
      <c r="S14" s="101"/>
      <c r="T14" s="101"/>
      <c r="U14" s="101"/>
      <c r="V14" s="101"/>
      <c r="W14" s="101"/>
      <c r="X14" s="101"/>
      <c r="Y14" s="101"/>
      <c r="Z14" s="101"/>
      <c r="AA14" s="101"/>
      <c r="AB14" s="101"/>
      <c r="AC14" s="3"/>
      <c r="AD14" s="3"/>
    </row>
    <row r="15" spans="1:30" ht="14.4">
      <c r="A15" s="115"/>
      <c r="B15" t="s">
        <v>695</v>
      </c>
      <c r="C15" s="110" t="s">
        <v>953</v>
      </c>
      <c r="D15" s="110" t="s">
        <v>16</v>
      </c>
      <c r="E15" s="60" t="s">
        <v>696</v>
      </c>
      <c r="F15" s="12"/>
      <c r="G15" t="s">
        <v>748</v>
      </c>
      <c r="H15" t="s">
        <v>743</v>
      </c>
      <c r="I15" s="15" t="s">
        <v>702</v>
      </c>
      <c r="J15" s="15">
        <v>2025</v>
      </c>
      <c r="K15" s="101"/>
      <c r="L15" s="101"/>
      <c r="M15" s="101"/>
      <c r="N15" s="101"/>
      <c r="O15" s="101"/>
      <c r="P15" s="101"/>
      <c r="Q15" s="101"/>
      <c r="R15" s="101"/>
      <c r="S15" s="101"/>
      <c r="T15" s="101"/>
      <c r="U15" s="101"/>
      <c r="V15" s="101"/>
      <c r="W15" s="101"/>
      <c r="X15" s="101"/>
      <c r="Y15" s="101"/>
      <c r="Z15" s="101"/>
      <c r="AA15" s="101"/>
      <c r="AB15" s="101"/>
      <c r="AC15" s="4"/>
      <c r="AD15" s="4"/>
    </row>
    <row r="16" spans="1:30" ht="14.4">
      <c r="A16" s="115"/>
      <c r="B16" t="s">
        <v>703</v>
      </c>
      <c r="C16" t="s">
        <v>954</v>
      </c>
      <c r="D16" s="110" t="s">
        <v>16</v>
      </c>
      <c r="E16" s="60" t="s">
        <v>704</v>
      </c>
      <c r="F16" s="12"/>
      <c r="G16" t="s">
        <v>744</v>
      </c>
      <c r="H16" t="s">
        <v>745</v>
      </c>
      <c r="I16" s="15" t="s">
        <v>705</v>
      </c>
      <c r="J16" s="15">
        <v>2024</v>
      </c>
      <c r="K16" s="101"/>
      <c r="L16" s="101"/>
      <c r="M16" s="101"/>
      <c r="N16" s="101"/>
      <c r="O16" s="101"/>
      <c r="P16" s="101"/>
      <c r="Q16" s="101"/>
      <c r="R16" s="101"/>
      <c r="S16" s="101"/>
      <c r="T16" s="101"/>
      <c r="U16" s="101"/>
      <c r="V16" s="101"/>
      <c r="W16" s="101"/>
      <c r="X16" s="101"/>
      <c r="Y16" s="101"/>
      <c r="Z16" s="101"/>
      <c r="AA16" s="101"/>
      <c r="AB16" s="101"/>
      <c r="AC16" s="3"/>
      <c r="AD16" s="3"/>
    </row>
    <row r="17" spans="1:30" ht="14.4">
      <c r="A17" s="115"/>
      <c r="B17" t="s">
        <v>483</v>
      </c>
      <c r="C17" t="s">
        <v>955</v>
      </c>
      <c r="D17" s="110" t="s">
        <v>16</v>
      </c>
      <c r="E17" s="60" t="s">
        <v>706</v>
      </c>
      <c r="F17" s="12"/>
      <c r="G17" t="s">
        <v>746</v>
      </c>
      <c r="H17" t="s">
        <v>747</v>
      </c>
      <c r="I17" s="15" t="s">
        <v>707</v>
      </c>
      <c r="J17" s="15">
        <v>2025</v>
      </c>
      <c r="K17" s="101"/>
      <c r="L17" s="101"/>
      <c r="M17" s="101"/>
      <c r="N17" s="101"/>
      <c r="O17" s="101"/>
      <c r="P17" s="101"/>
      <c r="Q17" s="101"/>
      <c r="R17" s="101"/>
      <c r="S17" s="101"/>
      <c r="T17" s="101"/>
      <c r="U17" s="101"/>
      <c r="V17" s="101"/>
      <c r="W17" s="101"/>
      <c r="X17" s="101"/>
      <c r="Y17" s="101"/>
      <c r="Z17" s="101"/>
      <c r="AA17" s="101"/>
      <c r="AB17" s="101"/>
      <c r="AC17" s="3"/>
      <c r="AD17" s="3"/>
    </row>
    <row r="18" spans="1:30" ht="14.4">
      <c r="A18" s="90"/>
      <c r="B18" s="101"/>
      <c r="C18" s="101"/>
      <c r="D18" s="105"/>
      <c r="E18" s="102"/>
      <c r="G18" s="101"/>
      <c r="H18" s="101"/>
      <c r="I18" s="101"/>
      <c r="J18" s="101"/>
      <c r="K18" s="101"/>
      <c r="L18" s="101"/>
      <c r="M18" s="101"/>
      <c r="N18" s="101"/>
      <c r="O18" s="101"/>
      <c r="P18" s="101"/>
      <c r="Q18" s="101"/>
      <c r="R18" s="101"/>
      <c r="S18" s="101"/>
      <c r="T18" s="101"/>
      <c r="U18" s="101"/>
      <c r="V18" s="101"/>
      <c r="W18" s="101"/>
      <c r="X18" s="101"/>
      <c r="Y18" s="101"/>
      <c r="Z18" s="101"/>
      <c r="AA18" s="101"/>
      <c r="AB18" s="101"/>
      <c r="AC18" s="3"/>
      <c r="AD18" s="3"/>
    </row>
    <row r="19" spans="1:30" ht="14.4">
      <c r="A19" s="90"/>
      <c r="B19" s="101"/>
      <c r="C19" s="101"/>
      <c r="D19" s="105"/>
      <c r="E19" s="102"/>
      <c r="G19" s="101"/>
      <c r="H19" s="101"/>
      <c r="I19" s="104"/>
      <c r="J19" s="101"/>
      <c r="K19" s="101"/>
      <c r="L19" s="101"/>
      <c r="M19" s="101"/>
      <c r="N19" s="101"/>
      <c r="O19" s="101"/>
      <c r="P19" s="101"/>
      <c r="Q19" s="101"/>
      <c r="R19" s="101"/>
      <c r="S19" s="101"/>
      <c r="T19" s="101"/>
      <c r="U19" s="101"/>
      <c r="V19" s="101"/>
      <c r="W19" s="101"/>
      <c r="X19" s="101"/>
      <c r="Y19" s="101"/>
      <c r="Z19" s="101"/>
      <c r="AA19" s="101"/>
      <c r="AB19" s="101"/>
      <c r="AC19" s="3"/>
      <c r="AD19" s="3"/>
    </row>
    <row r="20" spans="1:30" ht="14.4" customHeight="1">
      <c r="A20" s="126" t="s">
        <v>1076</v>
      </c>
      <c r="B20" t="s">
        <v>300</v>
      </c>
      <c r="C20" t="s">
        <v>992</v>
      </c>
      <c r="D20" t="s">
        <v>19</v>
      </c>
      <c r="E20" s="116" t="str">
        <f>HYPERLINK("https://doi.org/" &amp; F20, "https://doi.org/" &amp; F20)</f>
        <v>https://doi.org/10.1007/s10489-024-05489-9</v>
      </c>
      <c r="F20" s="101" t="s">
        <v>307</v>
      </c>
      <c r="G20" t="s">
        <v>314</v>
      </c>
      <c r="H20" t="s">
        <v>321</v>
      </c>
      <c r="I20" t="s">
        <v>322</v>
      </c>
      <c r="J20" s="101">
        <v>2024</v>
      </c>
      <c r="K20" s="101"/>
      <c r="L20" s="101"/>
      <c r="M20" s="101"/>
      <c r="N20" s="101"/>
      <c r="O20" s="101"/>
      <c r="P20" s="101"/>
      <c r="Q20" s="101"/>
      <c r="R20" s="101"/>
      <c r="S20" s="101"/>
      <c r="T20" s="101"/>
      <c r="U20" s="101"/>
      <c r="V20" s="101"/>
      <c r="W20" s="101"/>
      <c r="X20" s="101"/>
      <c r="Y20" s="101"/>
      <c r="Z20" s="101"/>
      <c r="AA20" s="101"/>
      <c r="AB20" s="101"/>
      <c r="AC20" s="3"/>
      <c r="AD20" s="3"/>
    </row>
    <row r="21" spans="1:30" ht="14.4">
      <c r="A21" s="114"/>
      <c r="B21" t="s">
        <v>301</v>
      </c>
      <c r="C21" t="s">
        <v>21</v>
      </c>
      <c r="D21" t="s">
        <v>16</v>
      </c>
      <c r="E21" s="116" t="str">
        <f t="shared" ref="E21:E30" si="1">HYPERLINK("https://doi.org/" &amp; F21, "https://doi.org/" &amp; F21)</f>
        <v>https://doi.org/10.1007/978-981-97-6106-7_37</v>
      </c>
      <c r="F21" s="101" t="s">
        <v>308</v>
      </c>
      <c r="G21" t="s">
        <v>315</v>
      </c>
      <c r="H21" t="s">
        <v>323</v>
      </c>
      <c r="I21" t="s">
        <v>889</v>
      </c>
      <c r="J21" s="101">
        <v>2025</v>
      </c>
      <c r="K21" s="101"/>
      <c r="L21" s="101"/>
      <c r="M21" s="101"/>
      <c r="N21" s="101"/>
      <c r="O21" s="101"/>
      <c r="P21" s="101"/>
      <c r="Q21" s="101"/>
      <c r="R21" s="101"/>
      <c r="S21" s="101"/>
      <c r="T21" s="101"/>
      <c r="U21" s="101"/>
      <c r="V21" s="101"/>
      <c r="W21" s="101"/>
      <c r="X21" s="101"/>
      <c r="Y21" s="101"/>
      <c r="Z21" s="101"/>
      <c r="AA21" s="101"/>
      <c r="AB21" s="101"/>
      <c r="AC21" s="3"/>
      <c r="AD21" s="3"/>
    </row>
    <row r="22" spans="1:30" ht="14.4">
      <c r="A22" s="114"/>
      <c r="B22" t="s">
        <v>1092</v>
      </c>
      <c r="C22" t="s">
        <v>995</v>
      </c>
      <c r="D22" t="s">
        <v>19</v>
      </c>
      <c r="E22" s="116" t="str">
        <f t="shared" si="1"/>
        <v>https://doi.org/10.1007/978-3-031-73668-1_14</v>
      </c>
      <c r="F22" s="3" t="s">
        <v>312</v>
      </c>
      <c r="G22" t="s">
        <v>319</v>
      </c>
      <c r="H22" t="s">
        <v>328</v>
      </c>
      <c r="I22" t="s">
        <v>893</v>
      </c>
      <c r="J22" s="3">
        <v>2025</v>
      </c>
      <c r="K22" s="101"/>
      <c r="L22" s="101"/>
      <c r="M22" s="101"/>
      <c r="N22" s="101"/>
      <c r="O22" s="101"/>
      <c r="P22" s="101"/>
      <c r="Q22" s="101"/>
      <c r="R22" s="101"/>
      <c r="S22" s="101"/>
      <c r="T22" s="101"/>
      <c r="U22" s="101"/>
      <c r="V22" s="101"/>
      <c r="W22" s="101"/>
      <c r="X22" s="101"/>
      <c r="Y22" s="101"/>
      <c r="Z22" s="101"/>
      <c r="AA22" s="101"/>
      <c r="AB22" s="101"/>
      <c r="AC22" s="3"/>
      <c r="AD22" s="3"/>
    </row>
    <row r="23" spans="1:30" ht="14.4">
      <c r="A23" s="114"/>
      <c r="B23" t="s">
        <v>306</v>
      </c>
      <c r="C23" t="s">
        <v>996</v>
      </c>
      <c r="D23" t="s">
        <v>19</v>
      </c>
      <c r="E23" s="116" t="str">
        <f t="shared" si="1"/>
        <v>https://doi.org/10.1007/978-3-031-65318-6_24</v>
      </c>
      <c r="F23" s="3" t="s">
        <v>313</v>
      </c>
      <c r="G23" t="s">
        <v>320</v>
      </c>
      <c r="H23" s="8" t="s">
        <v>329</v>
      </c>
      <c r="I23" t="s">
        <v>894</v>
      </c>
      <c r="J23" s="3">
        <v>2024</v>
      </c>
      <c r="K23" s="101"/>
      <c r="L23" s="101"/>
      <c r="M23" s="101"/>
      <c r="N23" s="101"/>
      <c r="O23" s="101"/>
      <c r="P23" s="101"/>
      <c r="Q23" s="101"/>
      <c r="R23" s="101"/>
      <c r="S23" s="101"/>
      <c r="T23" s="101"/>
      <c r="U23" s="101"/>
      <c r="V23" s="101"/>
      <c r="W23" s="101"/>
      <c r="X23" s="101"/>
      <c r="Y23" s="101"/>
      <c r="Z23" s="101"/>
      <c r="AA23" s="101"/>
      <c r="AB23" s="101"/>
      <c r="AC23" s="3"/>
      <c r="AD23" s="3"/>
    </row>
    <row r="24" spans="1:30" ht="14.4">
      <c r="A24" s="114"/>
      <c r="B24" t="s">
        <v>332</v>
      </c>
      <c r="C24" t="s">
        <v>22</v>
      </c>
      <c r="D24" t="s">
        <v>16</v>
      </c>
      <c r="E24" s="116" t="str">
        <f t="shared" si="1"/>
        <v>https://doi.org/10.1007/978-3-658-44037-4_93</v>
      </c>
      <c r="F24" s="3" t="s">
        <v>339</v>
      </c>
      <c r="G24" t="s">
        <v>346</v>
      </c>
      <c r="H24" s="10" t="s">
        <v>353</v>
      </c>
      <c r="I24" t="s">
        <v>897</v>
      </c>
      <c r="J24" s="3">
        <v>2024</v>
      </c>
      <c r="K24" s="101"/>
      <c r="L24" s="101"/>
      <c r="M24" s="101"/>
      <c r="N24" s="101"/>
      <c r="O24" s="101"/>
      <c r="P24" s="101"/>
      <c r="Q24" s="101"/>
      <c r="R24" s="101"/>
      <c r="S24" s="101"/>
      <c r="T24" s="101"/>
      <c r="U24" s="101"/>
      <c r="V24" s="101"/>
      <c r="W24" s="101"/>
      <c r="X24" s="101"/>
      <c r="Y24" s="101"/>
      <c r="Z24" s="101"/>
      <c r="AA24" s="101"/>
      <c r="AB24" s="101"/>
      <c r="AC24" s="3"/>
      <c r="AD24" s="3"/>
    </row>
    <row r="25" spans="1:30" ht="14.4">
      <c r="A25" s="114"/>
      <c r="B25" t="s">
        <v>333</v>
      </c>
      <c r="C25" t="s">
        <v>993</v>
      </c>
      <c r="D25" t="s">
        <v>16</v>
      </c>
      <c r="E25" s="116" t="str">
        <f t="shared" si="1"/>
        <v>https://doi.org/10.1007/s10044-025-01470-5</v>
      </c>
      <c r="F25" s="3" t="s">
        <v>340</v>
      </c>
      <c r="G25" t="s">
        <v>347</v>
      </c>
      <c r="H25" s="15" t="s">
        <v>354</v>
      </c>
      <c r="I25" s="59" t="s">
        <v>898</v>
      </c>
      <c r="J25" s="3">
        <v>2025</v>
      </c>
      <c r="K25" s="101"/>
      <c r="L25" s="101"/>
      <c r="M25" s="101"/>
      <c r="N25" s="101"/>
      <c r="O25" s="101"/>
      <c r="P25" s="101"/>
      <c r="Q25" s="101"/>
      <c r="R25" s="101"/>
      <c r="S25" s="101"/>
      <c r="T25" s="101"/>
      <c r="U25" s="101"/>
      <c r="V25" s="101"/>
      <c r="W25" s="101"/>
      <c r="X25" s="101"/>
      <c r="Y25" s="101"/>
      <c r="Z25" s="101"/>
      <c r="AA25" s="101"/>
      <c r="AB25" s="101"/>
      <c r="AC25" s="3"/>
      <c r="AD25" s="3"/>
    </row>
    <row r="26" spans="1:30" ht="14.4">
      <c r="A26" s="114"/>
      <c r="B26" t="s">
        <v>409</v>
      </c>
      <c r="C26" t="s">
        <v>994</v>
      </c>
      <c r="D26" t="s">
        <v>16</v>
      </c>
      <c r="E26" s="116" t="str">
        <f t="shared" si="1"/>
        <v>https://doi.org/10.1007/s43681-024-00644-x</v>
      </c>
      <c r="F26" s="3" t="s">
        <v>418</v>
      </c>
      <c r="G26" t="s">
        <v>427</v>
      </c>
      <c r="H26" s="3" t="s">
        <v>452</v>
      </c>
      <c r="I26" t="s">
        <v>453</v>
      </c>
      <c r="J26" s="3">
        <v>2025</v>
      </c>
      <c r="K26" s="101"/>
      <c r="L26" s="101"/>
      <c r="M26" s="101"/>
      <c r="N26" s="101"/>
      <c r="O26" s="101"/>
      <c r="P26" s="101"/>
      <c r="Q26" s="101"/>
      <c r="R26" s="101"/>
      <c r="S26" s="101"/>
      <c r="T26" s="101"/>
      <c r="U26" s="101"/>
      <c r="V26" s="101"/>
      <c r="W26" s="101"/>
      <c r="X26" s="101"/>
      <c r="Y26" s="101"/>
      <c r="Z26" s="101"/>
      <c r="AA26" s="101"/>
      <c r="AB26" s="101"/>
      <c r="AC26" s="3"/>
      <c r="AD26" s="3"/>
    </row>
    <row r="27" spans="1:30" ht="14.4">
      <c r="A27" s="6"/>
      <c r="B27" s="101"/>
      <c r="C27" s="101"/>
      <c r="D27" s="101"/>
      <c r="E27" s="116"/>
      <c r="G27" s="101"/>
      <c r="H27" s="101"/>
      <c r="I27" s="101"/>
      <c r="J27" s="101"/>
      <c r="K27" s="101"/>
      <c r="L27" s="101"/>
      <c r="M27" s="101"/>
      <c r="N27" s="101"/>
      <c r="O27" s="101"/>
      <c r="P27" s="101"/>
      <c r="Q27" s="101"/>
      <c r="R27" s="101"/>
      <c r="S27" s="101"/>
      <c r="T27" s="101"/>
      <c r="U27" s="101"/>
      <c r="V27" s="101"/>
      <c r="W27" s="101"/>
      <c r="X27" s="101"/>
      <c r="Y27" s="101"/>
      <c r="Z27" s="101"/>
      <c r="AA27" s="101"/>
      <c r="AB27" s="101"/>
      <c r="AC27" s="3"/>
      <c r="AD27" s="3"/>
    </row>
    <row r="28" spans="1:30" ht="14.4">
      <c r="B28" s="109"/>
      <c r="C28" s="109"/>
      <c r="D28" s="105"/>
      <c r="E28" s="116"/>
      <c r="G28" s="101"/>
      <c r="H28" s="109"/>
      <c r="I28" s="101"/>
      <c r="J28" s="101"/>
      <c r="K28" s="101"/>
      <c r="L28" s="101"/>
      <c r="M28" s="101"/>
      <c r="N28" s="101"/>
      <c r="O28" s="101"/>
      <c r="P28" s="101"/>
      <c r="Q28" s="101"/>
      <c r="R28" s="101"/>
      <c r="S28" s="101"/>
      <c r="T28" s="101"/>
      <c r="U28" s="101"/>
      <c r="V28" s="101"/>
      <c r="W28" s="101"/>
      <c r="X28" s="101"/>
      <c r="Y28" s="101"/>
      <c r="Z28" s="101"/>
      <c r="AA28" s="101"/>
      <c r="AB28" s="101"/>
      <c r="AC28" s="3"/>
      <c r="AD28" s="3"/>
    </row>
    <row r="29" spans="1:30" ht="14.4">
      <c r="A29" s="117" t="s">
        <v>23</v>
      </c>
      <c r="B29" t="s">
        <v>524</v>
      </c>
      <c r="C29" t="s">
        <v>26</v>
      </c>
      <c r="D29" t="s">
        <v>19</v>
      </c>
      <c r="E29" s="116" t="str">
        <f t="shared" si="1"/>
        <v>https://doi.org/10.1016/j.aap.2025.107986</v>
      </c>
      <c r="F29" s="17" t="s">
        <v>525</v>
      </c>
      <c r="G29" t="s">
        <v>523</v>
      </c>
      <c r="H29" t="s">
        <v>542</v>
      </c>
      <c r="I29" s="17" t="s">
        <v>526</v>
      </c>
      <c r="J29" s="17">
        <v>2025</v>
      </c>
      <c r="K29" s="101"/>
      <c r="L29" s="101"/>
      <c r="M29" s="101"/>
      <c r="N29" s="101"/>
      <c r="O29" s="101"/>
      <c r="P29" s="101"/>
      <c r="Q29" s="101"/>
      <c r="R29" s="101"/>
      <c r="S29" s="101"/>
      <c r="T29" s="101"/>
      <c r="U29" s="101"/>
      <c r="V29" s="101"/>
      <c r="W29" s="101"/>
      <c r="X29" s="101"/>
      <c r="Y29" s="101"/>
      <c r="Z29" s="101"/>
      <c r="AA29" s="101"/>
      <c r="AB29" s="101"/>
      <c r="AC29" s="3"/>
      <c r="AD29" s="3"/>
    </row>
    <row r="30" spans="1:30" ht="14.4">
      <c r="A30" s="117"/>
      <c r="B30" t="s">
        <v>528</v>
      </c>
      <c r="C30" t="s">
        <v>920</v>
      </c>
      <c r="D30" t="s">
        <v>16</v>
      </c>
      <c r="E30" s="116" t="str">
        <f t="shared" si="1"/>
        <v>https://doi.org/10.1016/j.pmcj.2024.101914</v>
      </c>
      <c r="F30" s="17" t="s">
        <v>529</v>
      </c>
      <c r="G30" t="s">
        <v>527</v>
      </c>
      <c r="H30" t="s">
        <v>543</v>
      </c>
      <c r="I30" s="17" t="s">
        <v>530</v>
      </c>
      <c r="J30" s="17">
        <v>2024</v>
      </c>
      <c r="K30" s="101"/>
      <c r="L30" s="101"/>
      <c r="M30" s="101"/>
      <c r="N30" s="101"/>
      <c r="O30" s="101"/>
      <c r="P30" s="101"/>
      <c r="Q30" s="101"/>
      <c r="R30" s="101"/>
      <c r="S30" s="101"/>
      <c r="T30" s="101"/>
      <c r="U30" s="101"/>
      <c r="V30" s="101"/>
      <c r="W30" s="101"/>
      <c r="X30" s="101"/>
      <c r="Y30" s="101"/>
      <c r="Z30" s="101"/>
      <c r="AA30" s="101"/>
      <c r="AB30" s="101"/>
      <c r="AC30" s="3"/>
      <c r="AD30" s="3"/>
    </row>
    <row r="31" spans="1:30" ht="14.4">
      <c r="A31" s="117"/>
      <c r="B31" t="s">
        <v>556</v>
      </c>
      <c r="C31" t="s">
        <v>923</v>
      </c>
      <c r="D31" t="s">
        <v>16</v>
      </c>
      <c r="E31" s="18" t="s">
        <v>558</v>
      </c>
      <c r="F31" s="17" t="s">
        <v>558</v>
      </c>
      <c r="G31" t="s">
        <v>557</v>
      </c>
      <c r="H31" t="s">
        <v>559</v>
      </c>
      <c r="I31" s="17" t="s">
        <v>560</v>
      </c>
      <c r="J31" s="17">
        <v>2025</v>
      </c>
      <c r="K31" s="101"/>
      <c r="L31" s="101"/>
      <c r="M31" s="101"/>
      <c r="N31" s="101"/>
      <c r="O31" s="101"/>
      <c r="P31" s="101"/>
      <c r="Q31" s="101"/>
      <c r="R31" s="101"/>
      <c r="S31" s="101"/>
      <c r="T31" s="101"/>
      <c r="U31" s="101"/>
      <c r="V31" s="101"/>
      <c r="W31" s="101"/>
      <c r="X31" s="101"/>
      <c r="Y31" s="101"/>
      <c r="Z31" s="101"/>
      <c r="AA31" s="101"/>
      <c r="AB31" s="101"/>
      <c r="AC31" s="3"/>
      <c r="AD31" s="3"/>
    </row>
    <row r="32" spans="1:30" ht="14.4">
      <c r="A32" s="117"/>
      <c r="B32" t="s">
        <v>561</v>
      </c>
      <c r="C32" t="s">
        <v>924</v>
      </c>
      <c r="D32" t="s">
        <v>16</v>
      </c>
      <c r="E32" s="18" t="s">
        <v>563</v>
      </c>
      <c r="F32" s="17" t="s">
        <v>563</v>
      </c>
      <c r="G32" t="s">
        <v>562</v>
      </c>
      <c r="H32" t="s">
        <v>564</v>
      </c>
      <c r="I32" s="17" t="s">
        <v>565</v>
      </c>
      <c r="J32" s="17">
        <v>2020</v>
      </c>
      <c r="K32" s="101"/>
      <c r="L32" s="101"/>
      <c r="M32" s="101"/>
      <c r="N32" s="101"/>
      <c r="O32" s="101"/>
      <c r="P32" s="101"/>
      <c r="Q32" s="101"/>
      <c r="R32" s="101"/>
      <c r="S32" s="101"/>
      <c r="T32" s="101"/>
      <c r="U32" s="101"/>
      <c r="V32" s="101"/>
      <c r="W32" s="101"/>
      <c r="X32" s="101"/>
      <c r="Y32" s="101"/>
      <c r="Z32" s="101"/>
      <c r="AA32" s="101"/>
      <c r="AB32" s="101"/>
      <c r="AC32" s="3"/>
      <c r="AD32" s="3"/>
    </row>
    <row r="33" spans="1:30" ht="14.4">
      <c r="A33" s="117"/>
      <c r="B33" t="s">
        <v>661</v>
      </c>
      <c r="C33" t="s">
        <v>940</v>
      </c>
      <c r="D33" t="s">
        <v>16</v>
      </c>
      <c r="E33" s="18" t="s">
        <v>663</v>
      </c>
      <c r="F33" s="17" t="s">
        <v>663</v>
      </c>
      <c r="G33" t="s">
        <v>662</v>
      </c>
      <c r="H33" t="s">
        <v>664</v>
      </c>
      <c r="I33" s="17" t="s">
        <v>665</v>
      </c>
      <c r="J33" s="17">
        <v>2024</v>
      </c>
      <c r="K33" s="101"/>
      <c r="L33" s="101"/>
      <c r="M33" s="101"/>
      <c r="N33" s="101"/>
      <c r="O33" s="101"/>
      <c r="P33" s="101"/>
      <c r="Q33" s="101"/>
      <c r="R33" s="101"/>
      <c r="S33" s="101"/>
      <c r="T33" s="101"/>
      <c r="U33" s="101"/>
      <c r="V33" s="101"/>
      <c r="W33" s="101"/>
      <c r="X33" s="101"/>
      <c r="Y33" s="101"/>
      <c r="Z33" s="101"/>
      <c r="AA33" s="101"/>
      <c r="AB33" s="101"/>
      <c r="AC33" s="3"/>
      <c r="AD33" s="3"/>
    </row>
    <row r="34" spans="1:30" ht="14.4">
      <c r="B34" s="101"/>
      <c r="C34" s="101"/>
      <c r="D34" s="105"/>
      <c r="E34" s="102"/>
      <c r="G34" s="101"/>
      <c r="H34" s="101"/>
      <c r="I34" s="101"/>
      <c r="J34" s="101"/>
      <c r="K34" s="101"/>
      <c r="L34" s="101"/>
      <c r="M34" s="101"/>
      <c r="N34" s="101"/>
      <c r="O34" s="101"/>
      <c r="P34" s="101"/>
      <c r="Q34" s="101"/>
      <c r="R34" s="101"/>
      <c r="S34" s="101"/>
      <c r="T34" s="101"/>
      <c r="U34" s="101"/>
      <c r="V34" s="101"/>
      <c r="W34" s="101"/>
      <c r="X34" s="101"/>
      <c r="Y34" s="101"/>
      <c r="Z34" s="101"/>
      <c r="AA34" s="101"/>
      <c r="AB34" s="101"/>
      <c r="AC34" s="3"/>
      <c r="AD34" s="3"/>
    </row>
    <row r="35" spans="1:30" ht="14.4">
      <c r="A35" s="6"/>
      <c r="B35" s="101"/>
      <c r="C35" s="101"/>
      <c r="D35" s="101"/>
      <c r="E35" s="108"/>
      <c r="G35" s="101"/>
      <c r="H35" s="101"/>
      <c r="I35" s="101"/>
      <c r="J35" s="101"/>
      <c r="K35" s="101"/>
      <c r="L35" s="101"/>
      <c r="M35" s="101"/>
      <c r="N35" s="101"/>
      <c r="O35" s="101"/>
      <c r="P35" s="101"/>
      <c r="Q35" s="101"/>
      <c r="R35" s="101"/>
      <c r="S35" s="101"/>
      <c r="T35" s="101"/>
      <c r="U35" s="101"/>
      <c r="V35" s="101"/>
      <c r="W35" s="101"/>
      <c r="X35" s="101"/>
      <c r="Y35" s="101"/>
      <c r="Z35" s="101"/>
      <c r="AA35" s="101"/>
      <c r="AB35" s="101"/>
      <c r="AC35" s="3"/>
      <c r="AD35" s="3"/>
    </row>
    <row r="36" spans="1:30" ht="14.4">
      <c r="A36" s="118" t="s">
        <v>34</v>
      </c>
      <c r="B36" t="s">
        <v>690</v>
      </c>
      <c r="C36" t="s">
        <v>972</v>
      </c>
      <c r="D36" t="s">
        <v>16</v>
      </c>
      <c r="E36" s="18" t="s">
        <v>692</v>
      </c>
      <c r="F36" s="17" t="s">
        <v>692</v>
      </c>
      <c r="G36" t="s">
        <v>691</v>
      </c>
      <c r="H36" t="s">
        <v>768</v>
      </c>
      <c r="I36" s="17" t="s">
        <v>694</v>
      </c>
      <c r="J36" s="17">
        <v>2020</v>
      </c>
      <c r="P36" s="101"/>
      <c r="Q36" s="101"/>
      <c r="R36" s="101"/>
      <c r="S36" s="101"/>
      <c r="T36" s="101"/>
      <c r="U36" s="101"/>
      <c r="V36" s="101"/>
      <c r="W36" s="101"/>
      <c r="X36" s="101"/>
      <c r="Y36" s="101"/>
      <c r="Z36" s="101"/>
      <c r="AA36" s="101"/>
      <c r="AB36" s="101"/>
      <c r="AC36" s="3"/>
      <c r="AD36" s="3"/>
    </row>
    <row r="37" spans="1:30" ht="14.4">
      <c r="A37" s="90"/>
      <c r="C37" s="23"/>
      <c r="D37" s="12"/>
      <c r="E37" s="60"/>
      <c r="P37" s="101"/>
      <c r="Q37" s="101"/>
      <c r="R37" s="101"/>
      <c r="S37" s="101"/>
      <c r="T37" s="101"/>
      <c r="U37" s="101"/>
      <c r="V37" s="101"/>
      <c r="W37" s="101"/>
      <c r="X37" s="101"/>
      <c r="Y37" s="101"/>
      <c r="Z37" s="101"/>
      <c r="AA37" s="101"/>
      <c r="AB37" s="101"/>
      <c r="AC37" s="3"/>
      <c r="AD37" s="3"/>
    </row>
    <row r="38" spans="1:30" ht="13.2" customHeight="1">
      <c r="A38" s="119" t="s">
        <v>35</v>
      </c>
      <c r="B38" t="s">
        <v>823</v>
      </c>
      <c r="C38" t="s">
        <v>36</v>
      </c>
      <c r="D38" t="s">
        <v>16</v>
      </c>
      <c r="E38" s="60" t="str">
        <f>HYPERLINK("https://doi.org/" &amp; F38, "https://doi.org/" &amp; F38)</f>
        <v>https://doi.org/10.1080/13600834.2024.2321052</v>
      </c>
      <c r="F38" s="12" t="s">
        <v>825</v>
      </c>
      <c r="G38" t="s">
        <v>824</v>
      </c>
      <c r="H38" t="s">
        <v>830</v>
      </c>
      <c r="I38" s="12" t="s">
        <v>833</v>
      </c>
      <c r="J38" s="12">
        <v>2024</v>
      </c>
    </row>
    <row r="39" spans="1:30" ht="13.2">
      <c r="A39" s="119"/>
      <c r="B39" t="s">
        <v>826</v>
      </c>
      <c r="C39" t="s">
        <v>37</v>
      </c>
      <c r="D39" t="s">
        <v>16</v>
      </c>
      <c r="E39" s="60" t="str">
        <f t="shared" ref="E39:E44" si="2">HYPERLINK("https://doi.org/" &amp; F39, "https://doi.org/" &amp; F39)</f>
        <v>https://doi.org/10.1080/02564602.2020.1803152</v>
      </c>
      <c r="F39" s="12" t="s">
        <v>828</v>
      </c>
      <c r="G39" t="s">
        <v>827</v>
      </c>
      <c r="H39" t="s">
        <v>831</v>
      </c>
      <c r="I39" s="59" t="s">
        <v>834</v>
      </c>
      <c r="J39" s="12">
        <v>2021</v>
      </c>
    </row>
    <row r="40" spans="1:30" ht="13.2">
      <c r="A40" s="119"/>
      <c r="B40" t="s">
        <v>871</v>
      </c>
      <c r="C40" t="s">
        <v>915</v>
      </c>
      <c r="D40" t="s">
        <v>19</v>
      </c>
      <c r="E40" s="60" t="str">
        <f t="shared" si="2"/>
        <v>https://doi.org/10.1080/16843703.2025.2452105</v>
      </c>
      <c r="F40" s="12" t="s">
        <v>878</v>
      </c>
      <c r="G40" t="s">
        <v>875</v>
      </c>
      <c r="H40" t="s">
        <v>882</v>
      </c>
      <c r="I40" s="59" t="s">
        <v>886</v>
      </c>
      <c r="J40" s="12">
        <v>2025</v>
      </c>
    </row>
    <row r="41" spans="1:30" ht="15" thickBot="1">
      <c r="A41" s="3"/>
      <c r="B41" s="23"/>
      <c r="C41" s="12"/>
      <c r="D41" s="60"/>
      <c r="E41" s="60"/>
      <c r="O41" s="101"/>
      <c r="P41" s="101"/>
      <c r="Q41" s="101"/>
      <c r="R41" s="101"/>
      <c r="S41" s="101"/>
      <c r="T41" s="101"/>
      <c r="U41" s="101"/>
      <c r="V41" s="101"/>
      <c r="W41" s="101"/>
      <c r="X41" s="101"/>
      <c r="Y41" s="101"/>
      <c r="Z41" s="101"/>
      <c r="AA41" s="101"/>
      <c r="AB41" s="101"/>
      <c r="AC41" s="3"/>
      <c r="AD41" s="3"/>
    </row>
    <row r="42" spans="1:30" ht="15" thickBot="1">
      <c r="A42" s="88" t="s">
        <v>38</v>
      </c>
      <c r="B42" t="s">
        <v>1077</v>
      </c>
      <c r="D42" t="s">
        <v>19</v>
      </c>
      <c r="E42" s="60" t="str">
        <f t="shared" si="2"/>
        <v>https://doi.org/10.1109/ACCESS.2022.3214227</v>
      </c>
      <c r="F42" s="120" t="s">
        <v>1079</v>
      </c>
      <c r="G42" s="120" t="s">
        <v>1078</v>
      </c>
      <c r="H42" t="s">
        <v>1080</v>
      </c>
      <c r="I42" t="s">
        <v>1081</v>
      </c>
      <c r="J42" s="120">
        <v>2022</v>
      </c>
      <c r="O42" s="101"/>
      <c r="P42" s="101"/>
      <c r="Q42" s="101"/>
      <c r="R42" s="101"/>
      <c r="S42" s="101"/>
      <c r="T42" s="101"/>
      <c r="U42" s="101"/>
      <c r="V42" s="101"/>
      <c r="W42" s="101"/>
      <c r="X42" s="101"/>
      <c r="Y42" s="101"/>
      <c r="Z42" s="101"/>
      <c r="AA42" s="101"/>
      <c r="AB42" s="101"/>
      <c r="AC42" s="3"/>
      <c r="AD42" s="3"/>
    </row>
    <row r="43" spans="1:30" ht="15" thickBot="1">
      <c r="A43" s="88"/>
      <c r="B43" t="s">
        <v>1082</v>
      </c>
      <c r="D43" t="s">
        <v>19</v>
      </c>
      <c r="E43" s="60" t="str">
        <f t="shared" si="2"/>
        <v>https://doi.org/10.1109/WACV56688.2023.00435</v>
      </c>
      <c r="F43" s="120" t="s">
        <v>1084</v>
      </c>
      <c r="G43" s="120" t="s">
        <v>1083</v>
      </c>
      <c r="H43" s="120" t="s">
        <v>1085</v>
      </c>
      <c r="I43" s="120" t="s">
        <v>1086</v>
      </c>
      <c r="J43" s="120">
        <v>2023</v>
      </c>
      <c r="K43" s="101"/>
      <c r="L43" s="101"/>
      <c r="M43" s="110"/>
      <c r="N43" s="101" t="s">
        <v>307</v>
      </c>
      <c r="O43" s="101"/>
      <c r="P43" s="101"/>
      <c r="Q43" s="101"/>
      <c r="R43" s="101"/>
      <c r="S43" s="101"/>
      <c r="T43" s="101"/>
      <c r="U43" s="101"/>
      <c r="V43" s="101"/>
      <c r="W43" s="101"/>
      <c r="X43" s="101"/>
      <c r="Y43" s="101"/>
      <c r="Z43" s="101"/>
      <c r="AA43" s="101"/>
      <c r="AB43" s="101"/>
      <c r="AC43" s="3"/>
      <c r="AD43" s="3"/>
    </row>
    <row r="44" spans="1:30" ht="15" thickBot="1">
      <c r="A44" s="88"/>
      <c r="B44" s="120" t="s">
        <v>1087</v>
      </c>
      <c r="D44" t="s">
        <v>19</v>
      </c>
      <c r="E44" s="60" t="str">
        <f t="shared" si="2"/>
        <v>https://doi.org/10.1109/TVT.2020.3043203</v>
      </c>
      <c r="F44" s="120" t="s">
        <v>1088</v>
      </c>
      <c r="G44" s="120" t="s">
        <v>1089</v>
      </c>
      <c r="H44" s="120" t="s">
        <v>1090</v>
      </c>
      <c r="I44" s="120" t="s">
        <v>1091</v>
      </c>
      <c r="J44" s="120">
        <v>2020</v>
      </c>
      <c r="K44" s="101"/>
      <c r="L44" s="101"/>
      <c r="M44" s="110"/>
      <c r="N44" s="101" t="s">
        <v>308</v>
      </c>
      <c r="O44" s="101"/>
      <c r="P44" s="101"/>
      <c r="Q44" s="101"/>
      <c r="R44" s="101"/>
      <c r="S44" s="101"/>
      <c r="T44" s="101"/>
      <c r="U44" s="101"/>
      <c r="V44" s="101"/>
      <c r="W44" s="101"/>
      <c r="X44" s="101"/>
      <c r="Y44" s="101"/>
      <c r="Z44" s="101"/>
      <c r="AA44" s="101"/>
      <c r="AB44" s="101"/>
      <c r="AC44" s="3"/>
      <c r="AD44" s="3"/>
    </row>
    <row r="45" spans="1:30" ht="14.4">
      <c r="A45" s="3"/>
      <c r="G45" s="101"/>
      <c r="H45" s="101"/>
      <c r="I45" s="110"/>
      <c r="J45" s="110"/>
      <c r="K45" s="101"/>
      <c r="L45" s="101"/>
      <c r="M45" s="110"/>
      <c r="N45" s="101" t="s">
        <v>309</v>
      </c>
      <c r="O45" s="101"/>
      <c r="P45" s="101"/>
      <c r="Q45" s="101"/>
      <c r="R45" s="101"/>
      <c r="S45" s="101"/>
      <c r="T45" s="101"/>
      <c r="U45" s="101"/>
      <c r="V45" s="101"/>
      <c r="W45" s="101"/>
      <c r="X45" s="101"/>
      <c r="Y45" s="101"/>
      <c r="Z45" s="101"/>
      <c r="AA45" s="101"/>
      <c r="AB45" s="101"/>
      <c r="AC45" s="3"/>
      <c r="AD45" s="3"/>
    </row>
    <row r="46" spans="1:30" ht="14.4">
      <c r="A46" s="3"/>
      <c r="G46" s="3"/>
      <c r="H46" s="3"/>
      <c r="I46" s="3"/>
      <c r="J46" s="3"/>
      <c r="K46" s="3"/>
      <c r="L46" s="3"/>
      <c r="M46" s="3"/>
      <c r="N46" s="3"/>
      <c r="O46" s="3"/>
      <c r="P46" s="3"/>
      <c r="Q46" s="3"/>
      <c r="R46" s="3"/>
      <c r="S46" s="3"/>
      <c r="T46" s="3"/>
      <c r="U46" s="3"/>
      <c r="V46" s="3"/>
      <c r="W46" s="3"/>
      <c r="X46" s="3"/>
      <c r="Y46" s="3"/>
      <c r="Z46" s="3"/>
      <c r="AA46" s="3"/>
      <c r="AB46" s="3"/>
      <c r="AC46" s="3"/>
      <c r="AD46" s="3"/>
    </row>
    <row r="47" spans="1:30" ht="14.4">
      <c r="A47" s="6"/>
      <c r="G47" s="3"/>
      <c r="H47" s="3"/>
      <c r="I47" s="3"/>
      <c r="J47" s="3"/>
      <c r="K47" s="3"/>
      <c r="L47" s="3"/>
      <c r="M47" s="3"/>
      <c r="N47" s="3"/>
      <c r="O47" s="3"/>
      <c r="P47" s="3"/>
      <c r="Q47" s="3"/>
      <c r="R47" s="3"/>
      <c r="S47" s="3"/>
      <c r="T47" s="3"/>
      <c r="U47" s="3"/>
      <c r="V47" s="3"/>
      <c r="W47" s="3"/>
      <c r="X47" s="3"/>
      <c r="Y47" s="3"/>
      <c r="Z47" s="3"/>
      <c r="AA47" s="3"/>
      <c r="AB47" s="3"/>
      <c r="AC47" s="3"/>
      <c r="AD47" s="3"/>
    </row>
    <row r="48" spans="1:30" ht="14.4">
      <c r="A48" s="6"/>
      <c r="G48" s="3"/>
      <c r="H48" s="3"/>
      <c r="I48" s="3"/>
      <c r="J48" s="3"/>
      <c r="K48" s="3"/>
      <c r="L48" s="3"/>
      <c r="M48" s="3"/>
      <c r="N48" s="3"/>
      <c r="O48" s="3"/>
      <c r="P48" s="3"/>
      <c r="Q48" s="3"/>
      <c r="R48" s="3"/>
      <c r="S48" s="3"/>
      <c r="T48" s="3"/>
      <c r="U48" s="3"/>
      <c r="V48" s="3"/>
      <c r="W48" s="3"/>
      <c r="X48" s="3"/>
      <c r="Y48" s="3"/>
      <c r="Z48" s="3"/>
      <c r="AA48" s="3"/>
      <c r="AB48" s="3"/>
      <c r="AC48" s="3"/>
      <c r="AD48" s="3"/>
    </row>
    <row r="49" spans="1:30" ht="14.4">
      <c r="A49" s="6"/>
      <c r="B49" s="17"/>
      <c r="C49" s="17"/>
      <c r="D49" s="17"/>
      <c r="E49" s="60"/>
      <c r="F49" s="17"/>
      <c r="G49" s="17"/>
      <c r="H49" s="17"/>
      <c r="I49" s="17"/>
      <c r="J49" s="17"/>
      <c r="K49" s="17"/>
      <c r="L49" s="17"/>
      <c r="M49" s="17"/>
      <c r="N49" s="17"/>
      <c r="O49" s="3"/>
      <c r="P49" s="3"/>
      <c r="Q49" s="3"/>
      <c r="R49" s="3"/>
      <c r="S49" s="3"/>
      <c r="T49" s="3"/>
      <c r="U49" s="3"/>
      <c r="V49" s="3"/>
      <c r="W49" s="3"/>
      <c r="X49" s="3"/>
      <c r="Y49" s="3"/>
      <c r="Z49" s="3"/>
      <c r="AA49" s="3"/>
      <c r="AB49" s="3"/>
      <c r="AC49" s="3"/>
      <c r="AD49" s="3"/>
    </row>
    <row r="50" spans="1:30" ht="14.4">
      <c r="A50" s="6"/>
      <c r="G50" s="3"/>
      <c r="H50" s="3"/>
      <c r="I50" s="3"/>
      <c r="J50" s="3"/>
      <c r="K50" s="3"/>
      <c r="L50" s="3"/>
      <c r="M50" s="3"/>
      <c r="N50" s="3"/>
      <c r="O50" s="3"/>
      <c r="P50" s="3"/>
      <c r="Q50" s="3"/>
      <c r="R50" s="3"/>
      <c r="S50" s="3"/>
      <c r="T50" s="3"/>
      <c r="U50" s="3"/>
      <c r="V50" s="3"/>
      <c r="W50" s="3"/>
      <c r="X50" s="3"/>
      <c r="Y50" s="3"/>
      <c r="Z50" s="3"/>
      <c r="AA50" s="3"/>
      <c r="AB50" s="3"/>
      <c r="AC50" s="3"/>
      <c r="AD50" s="3"/>
    </row>
    <row r="51" spans="1:30" ht="14.4">
      <c r="A51" s="6"/>
      <c r="B51" s="59"/>
      <c r="G51" s="3"/>
      <c r="H51" s="3"/>
      <c r="I51" s="3"/>
      <c r="J51" s="3"/>
      <c r="K51" s="3"/>
      <c r="L51" s="3"/>
      <c r="M51" s="3"/>
      <c r="N51" s="3"/>
      <c r="O51" s="3"/>
      <c r="P51" s="3"/>
      <c r="Q51" s="3"/>
      <c r="R51" s="3"/>
      <c r="S51" s="3"/>
      <c r="T51" s="3"/>
      <c r="U51" s="3"/>
      <c r="V51" s="3"/>
      <c r="W51" s="3"/>
      <c r="X51" s="3"/>
      <c r="Y51" s="3"/>
      <c r="Z51" s="3"/>
      <c r="AA51" s="3"/>
      <c r="AB51" s="3"/>
      <c r="AC51" s="3"/>
      <c r="AD51" s="3"/>
    </row>
    <row r="52" spans="1:30" ht="15">
      <c r="A52" s="6"/>
      <c r="B52" s="10"/>
      <c r="C52" s="9"/>
      <c r="D52" s="8"/>
      <c r="E52" s="8"/>
      <c r="G52" s="3"/>
      <c r="H52" s="3"/>
      <c r="I52" s="3"/>
      <c r="J52" s="3"/>
      <c r="K52" s="3"/>
      <c r="L52" s="3"/>
      <c r="M52" s="3"/>
      <c r="N52" s="3"/>
      <c r="O52" s="3"/>
      <c r="P52" s="3"/>
      <c r="Q52" s="3"/>
      <c r="R52" s="3"/>
      <c r="S52" s="3"/>
      <c r="T52" s="3"/>
      <c r="U52" s="3"/>
      <c r="V52" s="3"/>
      <c r="W52" s="3"/>
      <c r="X52" s="3"/>
      <c r="Y52" s="3"/>
      <c r="Z52" s="3"/>
      <c r="AA52" s="3"/>
      <c r="AB52" s="3"/>
      <c r="AC52" s="3"/>
      <c r="AD52" s="3"/>
    </row>
    <row r="53" spans="1:30" ht="14.4">
      <c r="A53" s="6"/>
      <c r="G53" s="3"/>
      <c r="H53" s="3"/>
      <c r="I53" s="3"/>
      <c r="J53" s="3"/>
      <c r="K53" s="3"/>
      <c r="L53" s="3"/>
      <c r="M53" s="3"/>
      <c r="N53" s="3"/>
      <c r="O53" s="3"/>
      <c r="P53" s="3"/>
      <c r="Q53" s="3"/>
      <c r="R53" s="3"/>
      <c r="S53" s="3"/>
      <c r="T53" s="3"/>
      <c r="U53" s="3"/>
      <c r="V53" s="3"/>
      <c r="W53" s="3"/>
      <c r="X53" s="3"/>
      <c r="Y53" s="3"/>
      <c r="Z53" s="3"/>
      <c r="AA53" s="3"/>
      <c r="AB53" s="3"/>
      <c r="AC53" s="3"/>
      <c r="AD53" s="3"/>
    </row>
    <row r="54" spans="1:30" ht="14.4">
      <c r="A54" s="6"/>
      <c r="G54" s="3"/>
      <c r="H54" s="3"/>
      <c r="I54" s="3"/>
      <c r="J54" s="3"/>
      <c r="K54" s="3"/>
      <c r="L54" s="3"/>
      <c r="M54" s="3"/>
      <c r="N54" s="3"/>
      <c r="O54" s="3"/>
      <c r="P54" s="3"/>
      <c r="Q54" s="3"/>
      <c r="R54" s="3"/>
      <c r="S54" s="3"/>
      <c r="T54" s="3"/>
      <c r="U54" s="3"/>
      <c r="V54" s="3"/>
      <c r="W54" s="3"/>
      <c r="X54" s="3"/>
      <c r="Y54" s="3"/>
      <c r="Z54" s="3"/>
      <c r="AA54" s="3"/>
      <c r="AB54" s="3"/>
      <c r="AC54" s="3"/>
      <c r="AD54" s="3"/>
    </row>
    <row r="55" spans="1:30" ht="14.4">
      <c r="A55" s="6"/>
      <c r="G55" s="3"/>
      <c r="H55" s="3"/>
      <c r="I55" s="3"/>
      <c r="J55" s="3"/>
      <c r="K55" s="3"/>
      <c r="L55" s="3"/>
      <c r="M55" s="3"/>
      <c r="N55" s="3"/>
      <c r="O55" s="3"/>
      <c r="P55" s="3"/>
      <c r="Q55" s="3"/>
      <c r="R55" s="3"/>
      <c r="S55" s="3"/>
      <c r="T55" s="3"/>
      <c r="U55" s="3"/>
      <c r="V55" s="3"/>
      <c r="W55" s="3"/>
      <c r="X55" s="3"/>
      <c r="Y55" s="3"/>
      <c r="Z55" s="3"/>
      <c r="AA55" s="3"/>
      <c r="AB55" s="3"/>
      <c r="AC55" s="3"/>
      <c r="AD55" s="3"/>
    </row>
    <row r="56" spans="1:30" ht="14.4">
      <c r="A56" s="6"/>
      <c r="B56" s="17"/>
      <c r="C56" s="55"/>
      <c r="D56" s="17"/>
      <c r="E56" s="17"/>
      <c r="F56" s="17"/>
      <c r="G56" s="3"/>
      <c r="H56" s="3"/>
      <c r="I56" s="3"/>
      <c r="J56" s="3"/>
      <c r="K56" s="3"/>
      <c r="L56" s="3"/>
      <c r="M56" s="3"/>
      <c r="N56" s="3"/>
      <c r="O56" s="3"/>
      <c r="P56" s="3"/>
      <c r="Q56" s="3"/>
      <c r="R56" s="3"/>
      <c r="S56" s="3"/>
      <c r="T56" s="3"/>
      <c r="U56" s="3"/>
      <c r="V56" s="3"/>
      <c r="W56" s="3"/>
      <c r="X56" s="3"/>
      <c r="Y56" s="3"/>
      <c r="Z56" s="3"/>
      <c r="AA56" s="3"/>
      <c r="AB56" s="3"/>
      <c r="AC56" s="3"/>
      <c r="AD56" s="3"/>
    </row>
    <row r="57" spans="1:30" ht="14.4">
      <c r="A57" s="6"/>
      <c r="B57" s="17"/>
      <c r="C57" s="55"/>
      <c r="D57" s="17"/>
      <c r="E57" s="17"/>
      <c r="F57" s="17"/>
      <c r="G57" s="3"/>
      <c r="H57" s="3"/>
      <c r="I57" s="3"/>
      <c r="J57" s="3"/>
      <c r="K57" s="3"/>
      <c r="L57" s="3"/>
      <c r="M57" s="3"/>
      <c r="N57" s="3"/>
      <c r="O57" s="3"/>
      <c r="P57" s="3"/>
      <c r="Q57" s="3"/>
      <c r="R57" s="3"/>
      <c r="S57" s="3"/>
      <c r="T57" s="3"/>
      <c r="U57" s="3"/>
      <c r="V57" s="3"/>
      <c r="W57" s="3"/>
      <c r="X57" s="3"/>
      <c r="Y57" s="3"/>
      <c r="Z57" s="3"/>
      <c r="AA57" s="3"/>
      <c r="AB57" s="3"/>
      <c r="AC57" s="3"/>
      <c r="AD57" s="3"/>
    </row>
    <row r="58" spans="1:30" ht="14.4">
      <c r="A58" s="6"/>
      <c r="B58" s="12"/>
      <c r="C58" s="12"/>
      <c r="D58" s="12"/>
      <c r="E58" s="12"/>
      <c r="F58" s="12"/>
      <c r="G58" s="3"/>
      <c r="H58" s="3"/>
      <c r="I58" s="3"/>
      <c r="J58" s="3"/>
      <c r="K58" s="3"/>
      <c r="L58" s="3"/>
      <c r="M58" s="3"/>
      <c r="N58" s="3"/>
      <c r="O58" s="3"/>
      <c r="P58" s="3"/>
      <c r="Q58" s="3"/>
      <c r="R58" s="3"/>
      <c r="S58" s="3"/>
      <c r="T58" s="3"/>
      <c r="U58" s="3"/>
      <c r="V58" s="3"/>
      <c r="W58" s="3"/>
      <c r="X58" s="3"/>
      <c r="Y58" s="3"/>
      <c r="Z58" s="3"/>
      <c r="AA58" s="3"/>
      <c r="AB58" s="3"/>
      <c r="AC58" s="3"/>
      <c r="AD58" s="3"/>
    </row>
    <row r="59" spans="1:30" ht="14.4">
      <c r="A59" s="6"/>
      <c r="B59" s="12"/>
      <c r="C59" s="12"/>
      <c r="D59" s="59"/>
      <c r="E59" s="12"/>
      <c r="F59" s="12"/>
      <c r="G59" s="3"/>
      <c r="H59" s="3"/>
      <c r="I59" s="3"/>
      <c r="J59" s="3"/>
      <c r="K59" s="3"/>
      <c r="L59" s="3"/>
      <c r="M59" s="3"/>
      <c r="N59" s="3"/>
      <c r="O59" s="3"/>
      <c r="P59" s="3"/>
      <c r="Q59" s="3"/>
      <c r="R59" s="3"/>
      <c r="S59" s="3"/>
      <c r="T59" s="3"/>
      <c r="U59" s="3"/>
      <c r="V59" s="3"/>
      <c r="W59" s="3"/>
      <c r="X59" s="3"/>
      <c r="Y59" s="3"/>
      <c r="Z59" s="3"/>
      <c r="AA59" s="3"/>
      <c r="AB59" s="3"/>
      <c r="AC59" s="3"/>
      <c r="AD59" s="3"/>
    </row>
    <row r="60" spans="1:30" ht="14.4">
      <c r="A60" s="6"/>
      <c r="B60" s="12"/>
      <c r="C60" s="12"/>
      <c r="D60" s="59"/>
      <c r="E60" s="12"/>
      <c r="F60" s="12"/>
      <c r="G60" s="3"/>
      <c r="H60" s="3"/>
      <c r="I60" s="3"/>
      <c r="J60" s="3"/>
      <c r="K60" s="3"/>
      <c r="L60" s="3"/>
      <c r="M60" s="3"/>
      <c r="N60" s="3"/>
      <c r="O60" s="3"/>
      <c r="P60" s="3"/>
      <c r="Q60" s="3"/>
      <c r="R60" s="3"/>
      <c r="S60" s="3"/>
      <c r="T60" s="3"/>
      <c r="U60" s="3"/>
      <c r="V60" s="3"/>
      <c r="W60" s="3"/>
      <c r="X60" s="3"/>
      <c r="Y60" s="3"/>
      <c r="Z60" s="3"/>
      <c r="AA60" s="3"/>
      <c r="AB60" s="3"/>
      <c r="AC60" s="3"/>
      <c r="AD60" s="3"/>
    </row>
    <row r="61" spans="1:30" ht="15">
      <c r="A61" s="6"/>
      <c r="B61" s="8"/>
      <c r="C61" s="11"/>
      <c r="D61" s="8"/>
      <c r="E61" s="8"/>
      <c r="G61" s="3"/>
      <c r="H61" s="3"/>
      <c r="I61" s="3"/>
      <c r="J61" s="3"/>
      <c r="K61" s="3"/>
      <c r="L61" s="3"/>
      <c r="M61" s="3"/>
      <c r="N61" s="3"/>
      <c r="O61" s="3"/>
      <c r="P61" s="3"/>
      <c r="Q61" s="3"/>
      <c r="R61" s="3"/>
      <c r="S61" s="3"/>
      <c r="T61" s="3"/>
      <c r="U61" s="3"/>
      <c r="V61" s="3"/>
      <c r="W61" s="3"/>
      <c r="X61" s="3"/>
      <c r="Y61" s="3"/>
      <c r="Z61" s="3"/>
      <c r="AA61" s="3"/>
      <c r="AB61" s="3"/>
      <c r="AC61" s="3"/>
      <c r="AD61" s="3"/>
    </row>
    <row r="62" spans="1:30" ht="14.4">
      <c r="A62" s="6"/>
      <c r="B62" s="3"/>
      <c r="C62" s="3"/>
      <c r="D62" s="3"/>
      <c r="E62" s="7"/>
      <c r="G62" s="3"/>
      <c r="H62" s="3"/>
      <c r="I62" s="3"/>
      <c r="J62" s="3"/>
      <c r="K62" s="3"/>
      <c r="L62" s="3"/>
      <c r="M62" s="3"/>
      <c r="N62" s="3"/>
      <c r="O62" s="3"/>
      <c r="P62" s="3"/>
      <c r="Q62" s="3"/>
      <c r="R62" s="3"/>
      <c r="S62" s="3"/>
      <c r="T62" s="3"/>
      <c r="U62" s="3"/>
      <c r="V62" s="3"/>
      <c r="W62" s="3"/>
      <c r="X62" s="3"/>
      <c r="Y62" s="3"/>
      <c r="Z62" s="3"/>
      <c r="AA62" s="3"/>
      <c r="AB62" s="3"/>
      <c r="AC62" s="3"/>
      <c r="AD62" s="3"/>
    </row>
    <row r="63" spans="1:30" ht="14.4">
      <c r="A63" s="6"/>
      <c r="G63" s="3"/>
      <c r="H63" s="3"/>
      <c r="I63" s="3"/>
      <c r="J63" s="3"/>
      <c r="K63" s="3"/>
      <c r="L63" s="3"/>
      <c r="M63" s="3"/>
      <c r="N63" s="3" t="s">
        <v>307</v>
      </c>
      <c r="O63" s="3"/>
      <c r="P63" s="3"/>
      <c r="Q63" s="3"/>
      <c r="R63" s="3"/>
      <c r="S63" s="3"/>
      <c r="T63" s="3"/>
      <c r="U63" s="3"/>
      <c r="V63" s="3"/>
      <c r="W63" s="3"/>
      <c r="X63" s="3"/>
      <c r="Y63" s="3"/>
      <c r="Z63" s="3"/>
      <c r="AA63" s="3"/>
      <c r="AB63" s="3"/>
      <c r="AC63" s="3"/>
      <c r="AD63" s="3"/>
    </row>
    <row r="64" spans="1:30" ht="14.4">
      <c r="A64" s="6"/>
      <c r="G64" s="3"/>
      <c r="H64" s="3"/>
      <c r="I64" s="3"/>
      <c r="J64" s="3"/>
      <c r="K64" s="3"/>
      <c r="L64" s="3"/>
      <c r="M64" s="3"/>
      <c r="N64" s="3" t="s">
        <v>338</v>
      </c>
      <c r="O64" s="3"/>
      <c r="P64" s="3"/>
      <c r="Q64" s="3"/>
      <c r="R64" s="3"/>
      <c r="S64" s="3"/>
      <c r="T64" s="3"/>
      <c r="U64" s="3"/>
      <c r="V64" s="3"/>
      <c r="W64" s="3"/>
      <c r="X64" s="3"/>
      <c r="Y64" s="3"/>
      <c r="Z64" s="3"/>
      <c r="AA64" s="3"/>
      <c r="AB64" s="3"/>
      <c r="AC64" s="3"/>
      <c r="AD64" s="3"/>
    </row>
    <row r="65" spans="1:30" ht="14.4">
      <c r="A65" s="6"/>
      <c r="G65" s="3"/>
      <c r="H65" s="3"/>
      <c r="I65" s="3"/>
      <c r="J65" s="3"/>
      <c r="K65" s="3"/>
      <c r="L65" s="3"/>
      <c r="M65" s="3"/>
      <c r="N65" s="3" t="s">
        <v>339</v>
      </c>
      <c r="O65" s="3"/>
      <c r="P65" s="3"/>
      <c r="Q65" s="3"/>
      <c r="R65" s="3"/>
      <c r="S65" s="3"/>
      <c r="T65" s="3"/>
      <c r="U65" s="3"/>
      <c r="V65" s="3"/>
      <c r="W65" s="3"/>
      <c r="X65" s="3"/>
      <c r="Y65" s="3"/>
      <c r="Z65" s="3"/>
      <c r="AA65" s="3"/>
      <c r="AB65" s="3"/>
      <c r="AC65" s="3"/>
      <c r="AD65" s="3"/>
    </row>
    <row r="66" spans="1:30" ht="14.4">
      <c r="A66" s="6"/>
      <c r="G66" s="3"/>
      <c r="H66" s="3"/>
      <c r="I66" s="3"/>
      <c r="J66" s="3"/>
      <c r="K66" s="3"/>
      <c r="L66" s="3"/>
      <c r="M66" s="3"/>
      <c r="N66" s="3" t="s">
        <v>340</v>
      </c>
      <c r="O66" s="3"/>
      <c r="P66" s="3"/>
      <c r="Q66" s="3"/>
      <c r="R66" s="3"/>
      <c r="S66" s="3"/>
      <c r="T66" s="3"/>
      <c r="U66" s="3"/>
      <c r="V66" s="3"/>
      <c r="W66" s="3"/>
      <c r="X66" s="3"/>
      <c r="Y66" s="3"/>
      <c r="Z66" s="3"/>
      <c r="AA66" s="3"/>
      <c r="AB66" s="3"/>
      <c r="AC66" s="3"/>
      <c r="AD66" s="3"/>
    </row>
    <row r="67" spans="1:30" ht="14.4">
      <c r="A67" s="6"/>
      <c r="G67" s="3"/>
      <c r="H67" s="3"/>
      <c r="I67" s="3"/>
      <c r="J67" s="3"/>
      <c r="K67" s="3"/>
      <c r="L67" s="3"/>
      <c r="M67" s="3"/>
      <c r="N67" s="3" t="s">
        <v>341</v>
      </c>
      <c r="O67" s="3"/>
      <c r="P67" s="3"/>
      <c r="Q67" s="3"/>
      <c r="R67" s="3"/>
      <c r="S67" s="3"/>
      <c r="T67" s="3"/>
      <c r="U67" s="3"/>
      <c r="V67" s="3"/>
      <c r="W67" s="3"/>
      <c r="X67" s="3"/>
      <c r="Y67" s="3"/>
      <c r="Z67" s="3"/>
      <c r="AA67" s="3"/>
      <c r="AB67" s="3"/>
      <c r="AC67" s="3"/>
      <c r="AD67" s="3"/>
    </row>
    <row r="68" spans="1:30" ht="14.4">
      <c r="A68" s="6"/>
      <c r="G68" s="3"/>
      <c r="H68" s="3"/>
      <c r="I68" s="3"/>
      <c r="J68" s="3"/>
      <c r="K68" s="3"/>
      <c r="L68" s="3"/>
      <c r="M68" s="3"/>
      <c r="N68" s="3"/>
      <c r="O68" s="3"/>
      <c r="P68" s="3"/>
      <c r="Q68" s="3"/>
      <c r="R68" s="3"/>
      <c r="S68" s="3"/>
      <c r="T68" s="3"/>
      <c r="U68" s="3"/>
      <c r="V68" s="3"/>
      <c r="W68" s="3"/>
      <c r="X68" s="3"/>
      <c r="Y68" s="3"/>
      <c r="Z68" s="3"/>
      <c r="AA68" s="3"/>
      <c r="AB68" s="3"/>
      <c r="AC68" s="3"/>
      <c r="AD68" s="3"/>
    </row>
    <row r="69" spans="1:30" ht="14.4">
      <c r="A69" s="6"/>
      <c r="G69" s="3"/>
      <c r="H69" s="3"/>
      <c r="I69" s="3"/>
      <c r="J69" s="3"/>
      <c r="K69" s="3"/>
      <c r="L69" s="3"/>
      <c r="M69" s="3"/>
      <c r="N69" s="3" t="s">
        <v>392</v>
      </c>
      <c r="O69" s="3"/>
      <c r="P69" s="3"/>
      <c r="Q69" s="3"/>
      <c r="R69" s="3"/>
      <c r="S69" s="3"/>
      <c r="T69" s="3"/>
      <c r="U69" s="3"/>
      <c r="V69" s="3"/>
      <c r="W69" s="3"/>
      <c r="X69" s="3"/>
      <c r="Y69" s="3"/>
      <c r="Z69" s="3"/>
      <c r="AA69" s="3"/>
      <c r="AB69" s="3"/>
      <c r="AC69" s="3"/>
      <c r="AD69" s="3"/>
    </row>
    <row r="70" spans="1:30" ht="14.4">
      <c r="A70" s="6"/>
      <c r="G70" s="3"/>
      <c r="H70" s="3"/>
      <c r="I70" s="3"/>
      <c r="J70" s="3"/>
      <c r="K70" s="3"/>
      <c r="L70" s="3"/>
      <c r="M70" s="3"/>
      <c r="N70" s="3" t="s">
        <v>393</v>
      </c>
      <c r="O70" s="3"/>
      <c r="P70" s="3"/>
      <c r="Q70" s="3"/>
      <c r="R70" s="3"/>
      <c r="S70" s="3"/>
      <c r="T70" s="3"/>
      <c r="U70" s="3"/>
      <c r="V70" s="3"/>
      <c r="W70" s="3"/>
      <c r="X70" s="3"/>
      <c r="Y70" s="3"/>
      <c r="Z70" s="3"/>
      <c r="AA70" s="3"/>
      <c r="AB70" s="3"/>
      <c r="AC70" s="3"/>
      <c r="AD70" s="3"/>
    </row>
    <row r="71" spans="1:30" ht="14.4">
      <c r="A71" s="6"/>
      <c r="G71" s="3"/>
      <c r="H71" s="3"/>
      <c r="I71" s="3"/>
      <c r="J71" s="3"/>
      <c r="K71" s="3"/>
      <c r="L71" s="3"/>
      <c r="M71" s="3"/>
      <c r="N71" s="3" t="s">
        <v>394</v>
      </c>
      <c r="O71" s="3"/>
      <c r="P71" s="3"/>
      <c r="Q71" s="3"/>
      <c r="R71" s="3"/>
      <c r="S71" s="3"/>
      <c r="T71" s="3"/>
      <c r="U71" s="3"/>
      <c r="V71" s="3"/>
      <c r="W71" s="3"/>
      <c r="X71" s="3"/>
      <c r="Y71" s="3"/>
      <c r="Z71" s="3"/>
      <c r="AA71" s="3"/>
      <c r="AB71" s="3"/>
      <c r="AC71" s="3"/>
      <c r="AD71" s="3"/>
    </row>
    <row r="72" spans="1:30" ht="14.4">
      <c r="A72" s="6"/>
      <c r="G72" s="3"/>
      <c r="H72" s="3"/>
      <c r="I72" s="3"/>
      <c r="J72" s="3"/>
      <c r="K72" s="3"/>
      <c r="L72" s="3"/>
      <c r="M72" s="3"/>
      <c r="N72" s="3" t="s">
        <v>395</v>
      </c>
      <c r="O72" s="3"/>
      <c r="P72" s="3"/>
      <c r="Q72" s="3"/>
      <c r="R72" s="3"/>
      <c r="S72" s="3"/>
      <c r="T72" s="3"/>
      <c r="U72" s="3"/>
      <c r="V72" s="3"/>
      <c r="W72" s="3"/>
      <c r="X72" s="3"/>
      <c r="Y72" s="3"/>
      <c r="Z72" s="3"/>
      <c r="AA72" s="3"/>
      <c r="AB72" s="3"/>
      <c r="AC72" s="3"/>
      <c r="AD72" s="3"/>
    </row>
    <row r="73" spans="1:30" ht="14.4">
      <c r="A73" s="6"/>
      <c r="G73" s="3"/>
      <c r="H73" s="3"/>
      <c r="I73" s="3"/>
      <c r="J73" s="3"/>
      <c r="K73" s="3"/>
      <c r="L73" s="3"/>
      <c r="M73" s="3"/>
      <c r="N73" s="3" t="s">
        <v>396</v>
      </c>
      <c r="O73" s="3"/>
      <c r="P73" s="3"/>
      <c r="Q73" s="3"/>
      <c r="R73" s="3"/>
      <c r="S73" s="3"/>
      <c r="T73" s="3"/>
      <c r="U73" s="3"/>
      <c r="V73" s="3"/>
      <c r="W73" s="3"/>
      <c r="X73" s="3"/>
      <c r="Y73" s="3"/>
      <c r="Z73" s="3"/>
      <c r="AA73" s="3"/>
      <c r="AB73" s="3"/>
      <c r="AC73" s="3"/>
      <c r="AD73" s="3"/>
    </row>
    <row r="74" spans="1:30" ht="14.4">
      <c r="A74" s="6"/>
      <c r="G74" s="3"/>
      <c r="H74" s="3"/>
      <c r="I74" s="3"/>
      <c r="J74" s="3"/>
      <c r="K74" s="3"/>
      <c r="L74" s="3"/>
      <c r="M74" s="3"/>
      <c r="N74" s="3" t="s">
        <v>397</v>
      </c>
      <c r="O74" s="3"/>
      <c r="P74" s="3"/>
      <c r="Q74" s="3"/>
      <c r="R74" s="3"/>
      <c r="S74" s="3"/>
      <c r="T74" s="3"/>
      <c r="U74" s="3"/>
      <c r="V74" s="3"/>
      <c r="W74" s="3"/>
      <c r="X74" s="3"/>
      <c r="Y74" s="3"/>
      <c r="Z74" s="3"/>
      <c r="AA74" s="3"/>
      <c r="AB74" s="3"/>
      <c r="AC74" s="3"/>
      <c r="AD74" s="3"/>
    </row>
    <row r="75" spans="1:30" ht="14.4">
      <c r="A75" s="6"/>
      <c r="G75" s="3"/>
      <c r="H75" s="3"/>
      <c r="I75" s="3"/>
      <c r="J75" s="3"/>
      <c r="K75" s="3"/>
      <c r="L75" s="3"/>
      <c r="M75" s="3"/>
      <c r="N75" s="3" t="s">
        <v>398</v>
      </c>
      <c r="O75" s="3"/>
      <c r="P75" s="3"/>
      <c r="Q75" s="3"/>
      <c r="R75" s="3"/>
      <c r="S75" s="3"/>
      <c r="T75" s="3"/>
      <c r="U75" s="3"/>
      <c r="V75" s="3"/>
      <c r="W75" s="3"/>
      <c r="X75" s="3"/>
      <c r="Y75" s="3"/>
      <c r="Z75" s="3"/>
      <c r="AA75" s="3"/>
      <c r="AB75" s="3"/>
      <c r="AC75" s="3"/>
      <c r="AD75" s="3"/>
    </row>
    <row r="76" spans="1:30" ht="14.4">
      <c r="A76" s="6"/>
      <c r="G76" s="3"/>
      <c r="H76" s="3"/>
      <c r="I76" s="3"/>
      <c r="J76" s="3"/>
      <c r="K76" s="3"/>
      <c r="L76" s="3"/>
      <c r="M76" s="3"/>
      <c r="N76" s="3" t="s">
        <v>399</v>
      </c>
      <c r="O76" s="3"/>
      <c r="P76" s="3"/>
      <c r="Q76" s="3"/>
      <c r="R76" s="3"/>
      <c r="S76" s="3"/>
      <c r="T76" s="3"/>
      <c r="U76" s="3"/>
      <c r="V76" s="3"/>
      <c r="W76" s="3"/>
      <c r="X76" s="3"/>
      <c r="Y76" s="3"/>
      <c r="Z76" s="3"/>
      <c r="AA76" s="3"/>
      <c r="AB76" s="3"/>
      <c r="AC76" s="3"/>
      <c r="AD76" s="3"/>
    </row>
    <row r="77" spans="1:30" ht="14.4">
      <c r="A77" s="6"/>
      <c r="G77" s="3"/>
      <c r="H77" s="3"/>
      <c r="I77" s="3"/>
      <c r="J77" s="3"/>
      <c r="K77" s="3"/>
      <c r="L77" s="3"/>
      <c r="M77" s="3"/>
      <c r="N77" s="3"/>
      <c r="O77" s="3"/>
      <c r="P77" s="3"/>
      <c r="Q77" s="3"/>
      <c r="R77" s="3"/>
      <c r="S77" s="3"/>
      <c r="T77" s="3"/>
      <c r="U77" s="3"/>
      <c r="V77" s="3"/>
      <c r="W77" s="3"/>
      <c r="X77" s="3"/>
      <c r="Y77" s="3"/>
      <c r="Z77" s="3"/>
      <c r="AA77" s="3"/>
      <c r="AB77" s="3"/>
      <c r="AC77" s="3"/>
      <c r="AD77" s="3"/>
    </row>
    <row r="78" spans="1:30" ht="14.4">
      <c r="A78" s="6"/>
      <c r="G78" s="3"/>
      <c r="H78" s="3"/>
      <c r="I78" s="3"/>
      <c r="J78" s="3"/>
      <c r="K78" s="3"/>
      <c r="L78" s="3"/>
      <c r="M78" s="3"/>
      <c r="N78" s="3" t="s">
        <v>417</v>
      </c>
      <c r="O78" s="3"/>
      <c r="P78" s="3"/>
      <c r="Q78" s="3"/>
      <c r="R78" s="3"/>
      <c r="S78" s="3"/>
      <c r="T78" s="3"/>
      <c r="U78" s="3"/>
      <c r="V78" s="3"/>
      <c r="W78" s="3"/>
      <c r="X78" s="3"/>
      <c r="Y78" s="3"/>
      <c r="Z78" s="3"/>
      <c r="AA78" s="3"/>
      <c r="AB78" s="3"/>
      <c r="AC78" s="3"/>
      <c r="AD78" s="3"/>
    </row>
    <row r="79" spans="1:30" ht="14.4">
      <c r="A79" s="6"/>
      <c r="B79" s="3"/>
      <c r="C79" s="3"/>
      <c r="D79" s="3"/>
      <c r="E79" s="7"/>
      <c r="G79" s="3"/>
      <c r="H79" s="3"/>
      <c r="I79" s="3"/>
      <c r="J79" s="3"/>
      <c r="K79" s="3"/>
      <c r="L79" s="3"/>
      <c r="M79" s="3"/>
      <c r="N79" s="3" t="s">
        <v>418</v>
      </c>
      <c r="O79" s="3"/>
      <c r="P79" s="3"/>
      <c r="Q79" s="3"/>
      <c r="R79" s="3"/>
      <c r="S79" s="3"/>
      <c r="T79" s="3"/>
      <c r="U79" s="3"/>
      <c r="V79" s="3"/>
      <c r="W79" s="3"/>
      <c r="X79" s="3"/>
      <c r="Y79" s="3"/>
      <c r="Z79" s="3"/>
      <c r="AA79" s="3"/>
      <c r="AB79" s="3"/>
      <c r="AC79" s="3"/>
      <c r="AD79" s="3"/>
    </row>
    <row r="80" spans="1:30" ht="14.4">
      <c r="A80" s="6"/>
      <c r="B80" s="3"/>
      <c r="C80" s="3"/>
      <c r="D80" s="3"/>
      <c r="E80" s="7"/>
      <c r="G80" s="3"/>
      <c r="H80" s="3"/>
      <c r="I80" s="3"/>
      <c r="J80" s="3"/>
      <c r="K80" s="3"/>
      <c r="L80" s="3"/>
      <c r="M80" s="3"/>
      <c r="N80" s="3" t="s">
        <v>419</v>
      </c>
      <c r="O80" s="3"/>
      <c r="P80" s="3"/>
      <c r="Q80" s="3"/>
      <c r="R80" s="3"/>
      <c r="S80" s="3"/>
      <c r="T80" s="3"/>
      <c r="U80" s="3"/>
      <c r="V80" s="3"/>
      <c r="W80" s="3"/>
      <c r="X80" s="3"/>
      <c r="Y80" s="3"/>
      <c r="Z80" s="3"/>
      <c r="AA80" s="3"/>
      <c r="AB80" s="3"/>
      <c r="AC80" s="3"/>
      <c r="AD80" s="3"/>
    </row>
    <row r="81" spans="1:30" ht="14.4">
      <c r="A81" s="6"/>
      <c r="B81" s="3"/>
      <c r="C81" s="3"/>
      <c r="D81" s="3"/>
      <c r="E81" s="7"/>
      <c r="G81" s="3"/>
      <c r="H81" s="3"/>
      <c r="I81" s="3"/>
      <c r="J81" s="3"/>
      <c r="K81" s="3"/>
      <c r="L81" s="3"/>
      <c r="M81" s="3"/>
      <c r="N81" s="3" t="s">
        <v>420</v>
      </c>
      <c r="O81" s="3"/>
      <c r="P81" s="3"/>
      <c r="Q81" s="3"/>
      <c r="R81" s="3"/>
      <c r="S81" s="3"/>
      <c r="T81" s="3"/>
      <c r="U81" s="3"/>
      <c r="V81" s="3"/>
      <c r="W81" s="3"/>
      <c r="X81" s="3"/>
      <c r="Y81" s="3"/>
      <c r="Z81" s="3"/>
      <c r="AA81" s="3"/>
      <c r="AB81" s="3"/>
      <c r="AC81" s="3"/>
      <c r="AD81" s="3"/>
    </row>
    <row r="82" spans="1:30" ht="14.4">
      <c r="A82" s="6"/>
      <c r="B82" s="3"/>
      <c r="C82" s="3"/>
      <c r="D82" s="3"/>
      <c r="E82" s="7"/>
      <c r="G82" s="3"/>
      <c r="H82" s="3"/>
      <c r="I82" s="3"/>
      <c r="J82" s="3"/>
      <c r="K82" s="3"/>
      <c r="L82" s="3"/>
      <c r="M82" s="3"/>
      <c r="N82" s="3" t="s">
        <v>421</v>
      </c>
      <c r="O82" s="3"/>
      <c r="P82" s="3"/>
      <c r="Q82" s="3"/>
      <c r="R82" s="3"/>
      <c r="S82" s="3"/>
      <c r="T82" s="3"/>
      <c r="U82" s="3"/>
      <c r="V82" s="3"/>
      <c r="W82" s="3"/>
      <c r="X82" s="3"/>
      <c r="Y82" s="3"/>
      <c r="Z82" s="3"/>
      <c r="AA82" s="3"/>
      <c r="AB82" s="3"/>
      <c r="AC82" s="3"/>
      <c r="AD82" s="3"/>
    </row>
    <row r="83" spans="1:30" ht="14.4">
      <c r="A83" s="6"/>
      <c r="B83" s="3"/>
      <c r="C83" s="3"/>
      <c r="D83" s="3"/>
      <c r="E83" s="7"/>
      <c r="G83" s="3"/>
      <c r="H83" s="3"/>
      <c r="I83" s="3"/>
      <c r="J83" s="3"/>
      <c r="K83" s="3"/>
      <c r="L83" s="3"/>
      <c r="M83" s="3"/>
      <c r="N83" s="3" t="s">
        <v>422</v>
      </c>
      <c r="O83" s="3"/>
      <c r="P83" s="3"/>
      <c r="Q83" s="3"/>
      <c r="R83" s="3"/>
      <c r="S83" s="3"/>
      <c r="T83" s="3"/>
      <c r="U83" s="3"/>
      <c r="V83" s="3"/>
      <c r="W83" s="3"/>
      <c r="X83" s="3"/>
      <c r="Y83" s="3"/>
      <c r="Z83" s="3"/>
      <c r="AA83" s="3"/>
      <c r="AB83" s="3"/>
      <c r="AC83" s="3"/>
      <c r="AD83" s="3"/>
    </row>
    <row r="84" spans="1:30" ht="14.4">
      <c r="A84" s="6"/>
      <c r="B84" s="3"/>
      <c r="C84" s="3"/>
      <c r="D84" s="3"/>
      <c r="E84" s="7"/>
      <c r="G84" s="3"/>
      <c r="H84" s="3"/>
      <c r="I84" s="3"/>
      <c r="J84" s="3"/>
      <c r="K84" s="3"/>
      <c r="L84" s="3"/>
      <c r="M84" s="3"/>
      <c r="N84" s="3" t="s">
        <v>423</v>
      </c>
      <c r="O84" s="3"/>
      <c r="P84" s="3"/>
      <c r="Q84" s="3"/>
      <c r="R84" s="3"/>
      <c r="S84" s="3"/>
      <c r="T84" s="3"/>
      <c r="U84" s="3"/>
      <c r="V84" s="3"/>
      <c r="W84" s="3"/>
      <c r="X84" s="3"/>
      <c r="Y84" s="3"/>
      <c r="Z84" s="3"/>
      <c r="AA84" s="3"/>
      <c r="AB84" s="3"/>
      <c r="AC84" s="3"/>
      <c r="AD84" s="3"/>
    </row>
    <row r="85" spans="1:30" ht="14.4">
      <c r="A85" s="6"/>
      <c r="B85" s="3"/>
      <c r="C85" s="3"/>
      <c r="D85" s="3"/>
      <c r="E85" s="7"/>
      <c r="G85" s="3"/>
      <c r="H85" s="3"/>
      <c r="I85" s="3"/>
      <c r="J85" s="3"/>
      <c r="K85" s="3"/>
      <c r="L85" s="3"/>
      <c r="M85" s="3"/>
      <c r="N85" s="3" t="s">
        <v>424</v>
      </c>
      <c r="O85" s="3"/>
      <c r="P85" s="3"/>
      <c r="Q85" s="3"/>
      <c r="R85" s="3"/>
      <c r="S85" s="3"/>
      <c r="T85" s="3"/>
      <c r="U85" s="3"/>
      <c r="V85" s="3"/>
      <c r="W85" s="3"/>
      <c r="X85" s="3"/>
      <c r="Y85" s="3"/>
      <c r="Z85" s="3"/>
      <c r="AA85" s="3"/>
      <c r="AB85" s="3"/>
      <c r="AC85" s="3"/>
      <c r="AD85" s="3"/>
    </row>
    <row r="86" spans="1:30" ht="14.4">
      <c r="A86" s="6"/>
      <c r="B86" s="3"/>
      <c r="C86" s="3"/>
      <c r="D86" s="3"/>
      <c r="E86" s="7"/>
      <c r="G86" s="3"/>
      <c r="H86" s="3"/>
      <c r="I86" s="3"/>
      <c r="J86" s="3"/>
      <c r="K86" s="3"/>
      <c r="L86" s="3"/>
      <c r="M86" s="3"/>
      <c r="N86" s="3" t="s">
        <v>425</v>
      </c>
      <c r="O86" s="3"/>
      <c r="P86" s="3"/>
      <c r="Q86" s="3"/>
      <c r="R86" s="3"/>
      <c r="S86" s="3"/>
      <c r="T86" s="3"/>
      <c r="U86" s="3"/>
      <c r="V86" s="3"/>
      <c r="W86" s="3"/>
      <c r="X86" s="3"/>
      <c r="Y86" s="3"/>
      <c r="Z86" s="3"/>
      <c r="AA86" s="3"/>
      <c r="AB86" s="3"/>
      <c r="AC86" s="3"/>
      <c r="AD86" s="3"/>
    </row>
    <row r="87" spans="1:30" ht="14.4">
      <c r="A87" s="6"/>
      <c r="B87" s="3"/>
      <c r="C87" s="3"/>
      <c r="D87" s="3"/>
      <c r="E87" s="7"/>
      <c r="G87" s="3"/>
      <c r="H87" s="3"/>
      <c r="I87" s="3"/>
      <c r="J87" s="3"/>
      <c r="K87" s="3"/>
      <c r="L87" s="3"/>
      <c r="M87" s="3"/>
      <c r="N87" s="3"/>
      <c r="O87" s="3"/>
      <c r="P87" s="3"/>
      <c r="Q87" s="3"/>
      <c r="R87" s="3"/>
      <c r="S87" s="3"/>
      <c r="T87" s="3"/>
      <c r="U87" s="3"/>
      <c r="V87" s="3"/>
      <c r="W87" s="3"/>
      <c r="X87" s="3"/>
      <c r="Y87" s="3"/>
      <c r="Z87" s="3"/>
      <c r="AA87" s="3"/>
      <c r="AB87" s="3"/>
      <c r="AC87" s="3"/>
      <c r="AD87" s="3"/>
    </row>
    <row r="88" spans="1:30" ht="14.4">
      <c r="A88" s="6"/>
      <c r="B88" s="3"/>
      <c r="C88" s="3"/>
      <c r="D88" s="3"/>
      <c r="E88" s="7"/>
      <c r="G88" s="3"/>
      <c r="H88" s="3"/>
      <c r="I88" s="3"/>
      <c r="J88" s="3"/>
      <c r="K88" s="3"/>
      <c r="L88" s="3"/>
      <c r="M88" s="3"/>
      <c r="N88" s="3"/>
      <c r="O88" s="3"/>
      <c r="P88" s="3"/>
      <c r="Q88" s="3"/>
      <c r="R88" s="3"/>
      <c r="S88" s="3"/>
      <c r="T88" s="3"/>
      <c r="U88" s="3"/>
      <c r="V88" s="3"/>
      <c r="W88" s="3"/>
      <c r="X88" s="3"/>
      <c r="Y88" s="3"/>
      <c r="Z88" s="3"/>
      <c r="AA88" s="3"/>
      <c r="AB88" s="3"/>
      <c r="AC88" s="3"/>
      <c r="AD88" s="3"/>
    </row>
    <row r="89" spans="1:30" ht="14.4">
      <c r="A89" s="6"/>
      <c r="B89" s="3"/>
      <c r="C89" s="3"/>
      <c r="D89" s="3"/>
      <c r="E89" s="7"/>
      <c r="G89" s="3"/>
      <c r="H89" s="3"/>
      <c r="I89" s="3"/>
      <c r="J89" s="3"/>
      <c r="K89" s="3"/>
      <c r="L89" s="3"/>
      <c r="M89" s="3"/>
      <c r="N89" s="3"/>
      <c r="O89" s="3"/>
      <c r="P89" s="3"/>
      <c r="Q89" s="3"/>
      <c r="R89" s="3"/>
      <c r="S89" s="3"/>
      <c r="T89" s="3"/>
      <c r="U89" s="3"/>
      <c r="V89" s="3"/>
      <c r="W89" s="3"/>
      <c r="X89" s="3"/>
      <c r="Y89" s="3"/>
      <c r="Z89" s="3"/>
      <c r="AA89" s="3"/>
      <c r="AB89" s="3"/>
      <c r="AC89" s="3"/>
      <c r="AD89" s="3"/>
    </row>
    <row r="90" spans="1:30" ht="14.4">
      <c r="A90" s="6"/>
      <c r="B90" s="3"/>
      <c r="C90" s="3"/>
      <c r="D90" s="3"/>
      <c r="E90" s="7"/>
      <c r="G90" s="3"/>
      <c r="H90" s="3"/>
      <c r="I90" s="3"/>
      <c r="J90" s="3"/>
      <c r="K90" s="3"/>
      <c r="L90" s="3"/>
      <c r="M90" s="3"/>
      <c r="N90" s="3"/>
      <c r="O90" s="3"/>
      <c r="P90" s="3"/>
      <c r="Q90" s="3"/>
      <c r="R90" s="3"/>
      <c r="S90" s="3"/>
      <c r="T90" s="3"/>
      <c r="U90" s="3"/>
      <c r="V90" s="3"/>
      <c r="W90" s="3"/>
      <c r="X90" s="3"/>
      <c r="Y90" s="3"/>
      <c r="Z90" s="3"/>
      <c r="AA90" s="3"/>
      <c r="AB90" s="3"/>
      <c r="AC90" s="3"/>
      <c r="AD90" s="3"/>
    </row>
    <row r="91" spans="1:30" ht="14.4">
      <c r="A91" s="6"/>
      <c r="B91" s="3"/>
      <c r="C91" s="3"/>
      <c r="D91" s="3"/>
      <c r="E91" s="7"/>
      <c r="G91" s="3"/>
      <c r="H91" s="3"/>
      <c r="I91" s="3"/>
      <c r="J91" s="3"/>
      <c r="K91" s="3"/>
      <c r="L91" s="3"/>
      <c r="M91" s="3"/>
      <c r="N91" s="3"/>
      <c r="O91" s="3"/>
      <c r="P91" s="3"/>
      <c r="Q91" s="3"/>
      <c r="R91" s="3"/>
      <c r="S91" s="3"/>
      <c r="T91" s="3"/>
      <c r="U91" s="3"/>
      <c r="V91" s="3"/>
      <c r="W91" s="3"/>
      <c r="X91" s="3"/>
      <c r="Y91" s="3"/>
      <c r="Z91" s="3"/>
      <c r="AA91" s="3"/>
      <c r="AB91" s="3"/>
      <c r="AC91" s="3"/>
      <c r="AD91" s="3"/>
    </row>
    <row r="92" spans="1:30" ht="14.4">
      <c r="A92" s="6"/>
      <c r="B92" s="3"/>
      <c r="C92" s="3"/>
      <c r="D92" s="3"/>
      <c r="E92" s="7"/>
      <c r="G92" s="3"/>
      <c r="H92" s="3"/>
      <c r="I92" s="3"/>
      <c r="J92" s="3"/>
      <c r="K92" s="3"/>
      <c r="L92" s="3"/>
      <c r="M92" s="3"/>
      <c r="N92" s="3"/>
      <c r="O92" s="3"/>
      <c r="P92" s="3"/>
      <c r="Q92" s="3"/>
      <c r="R92" s="3"/>
      <c r="S92" s="3"/>
      <c r="T92" s="3"/>
      <c r="U92" s="3"/>
      <c r="V92" s="3"/>
      <c r="W92" s="3"/>
      <c r="X92" s="3"/>
      <c r="Y92" s="3"/>
      <c r="Z92" s="3"/>
      <c r="AA92" s="3"/>
      <c r="AB92" s="3"/>
      <c r="AC92" s="3"/>
      <c r="AD92" s="3"/>
    </row>
    <row r="93" spans="1:30" ht="14.4">
      <c r="A93" s="6"/>
      <c r="B93" s="3"/>
      <c r="C93" s="3"/>
      <c r="D93" s="3"/>
      <c r="E93" s="7"/>
      <c r="G93" s="3"/>
      <c r="H93" s="3"/>
      <c r="I93" s="3"/>
      <c r="J93" s="3"/>
      <c r="K93" s="3"/>
      <c r="L93" s="3"/>
      <c r="M93" s="3"/>
      <c r="N93" s="3"/>
      <c r="O93" s="3"/>
      <c r="P93" s="3"/>
      <c r="Q93" s="3"/>
      <c r="R93" s="3"/>
      <c r="S93" s="3"/>
      <c r="T93" s="3"/>
      <c r="U93" s="3"/>
      <c r="V93" s="3"/>
      <c r="W93" s="3"/>
      <c r="X93" s="3"/>
      <c r="Y93" s="3"/>
      <c r="Z93" s="3"/>
      <c r="AA93" s="3"/>
      <c r="AB93" s="3"/>
      <c r="AC93" s="3"/>
      <c r="AD93" s="3"/>
    </row>
    <row r="94" spans="1:30" ht="14.4">
      <c r="A94" s="6"/>
      <c r="B94" s="3"/>
      <c r="C94" s="3"/>
      <c r="D94" s="3"/>
      <c r="E94" s="7"/>
      <c r="G94" s="3"/>
      <c r="H94" s="3"/>
      <c r="I94" s="3"/>
      <c r="J94" s="3"/>
      <c r="K94" s="3"/>
      <c r="L94" s="3"/>
      <c r="M94" s="3"/>
      <c r="N94" s="3"/>
      <c r="O94" s="3"/>
      <c r="P94" s="3"/>
      <c r="Q94" s="3"/>
      <c r="R94" s="3"/>
      <c r="S94" s="3"/>
      <c r="T94" s="3"/>
      <c r="U94" s="3"/>
      <c r="V94" s="3"/>
      <c r="W94" s="3"/>
      <c r="X94" s="3"/>
      <c r="Y94" s="3"/>
      <c r="Z94" s="3"/>
      <c r="AA94" s="3"/>
      <c r="AB94" s="3"/>
      <c r="AC94" s="3"/>
      <c r="AD94" s="3"/>
    </row>
    <row r="95" spans="1:30" ht="14.4">
      <c r="A95" s="6"/>
      <c r="B95" s="3"/>
      <c r="C95" s="3"/>
      <c r="D95" s="3"/>
      <c r="E95" s="7"/>
      <c r="G95" s="3"/>
      <c r="H95" s="3"/>
      <c r="I95" s="3"/>
      <c r="J95" s="3"/>
      <c r="K95" s="3"/>
      <c r="L95" s="3"/>
      <c r="M95" s="3"/>
      <c r="N95" s="3"/>
      <c r="O95" s="3"/>
      <c r="P95" s="3"/>
      <c r="Q95" s="3"/>
      <c r="R95" s="3"/>
      <c r="S95" s="3"/>
      <c r="T95" s="3"/>
      <c r="U95" s="3"/>
      <c r="V95" s="3"/>
      <c r="W95" s="3"/>
      <c r="X95" s="3"/>
      <c r="Y95" s="3"/>
      <c r="Z95" s="3"/>
      <c r="AA95" s="3"/>
      <c r="AB95" s="3"/>
      <c r="AC95" s="3"/>
      <c r="AD95" s="3"/>
    </row>
    <row r="96" spans="1:30" ht="14.4">
      <c r="A96" s="6"/>
      <c r="B96" s="3"/>
      <c r="C96" s="3"/>
      <c r="D96" s="3"/>
      <c r="E96" s="7"/>
      <c r="G96" s="3"/>
      <c r="H96" s="3"/>
      <c r="I96" s="3"/>
      <c r="J96" s="3"/>
      <c r="K96" s="3"/>
      <c r="L96" s="3"/>
      <c r="M96" s="3"/>
      <c r="N96" s="3"/>
      <c r="O96" s="3"/>
      <c r="P96" s="3"/>
      <c r="Q96" s="3"/>
      <c r="R96" s="3"/>
      <c r="S96" s="3"/>
      <c r="T96" s="3"/>
      <c r="U96" s="3"/>
      <c r="V96" s="3"/>
      <c r="W96" s="3"/>
      <c r="X96" s="3"/>
      <c r="Y96" s="3"/>
      <c r="Z96" s="3"/>
      <c r="AA96" s="3"/>
      <c r="AB96" s="3"/>
      <c r="AC96" s="3"/>
      <c r="AD96" s="3"/>
    </row>
    <row r="97" spans="1:30" ht="14.4">
      <c r="A97" s="6"/>
      <c r="B97" s="3"/>
      <c r="C97" s="3"/>
      <c r="D97" s="3"/>
      <c r="E97" s="7"/>
      <c r="G97" s="3"/>
      <c r="H97" s="3"/>
      <c r="I97" s="3"/>
      <c r="J97" s="3"/>
      <c r="K97" s="3"/>
      <c r="L97" s="3"/>
      <c r="M97" s="3"/>
      <c r="N97" s="3"/>
      <c r="O97" s="3"/>
      <c r="P97" s="3"/>
      <c r="Q97" s="3"/>
      <c r="R97" s="3"/>
      <c r="S97" s="3"/>
      <c r="T97" s="3"/>
      <c r="U97" s="3"/>
      <c r="V97" s="3"/>
      <c r="W97" s="3"/>
      <c r="X97" s="3"/>
      <c r="Y97" s="3"/>
      <c r="Z97" s="3"/>
      <c r="AA97" s="3"/>
      <c r="AB97" s="3"/>
      <c r="AC97" s="3"/>
      <c r="AD97" s="3"/>
    </row>
    <row r="98" spans="1:30" ht="14.4">
      <c r="A98" s="6"/>
      <c r="B98" s="3"/>
      <c r="C98" s="3"/>
      <c r="D98" s="3"/>
      <c r="E98" s="7"/>
      <c r="G98" s="3"/>
      <c r="H98" s="3"/>
      <c r="I98" s="3"/>
      <c r="J98" s="3"/>
      <c r="K98" s="3"/>
      <c r="L98" s="3"/>
      <c r="M98" s="3"/>
      <c r="N98" s="3"/>
      <c r="O98" s="3"/>
      <c r="P98" s="3"/>
      <c r="Q98" s="3"/>
      <c r="R98" s="3"/>
      <c r="S98" s="3"/>
      <c r="T98" s="3"/>
      <c r="U98" s="3"/>
      <c r="V98" s="3"/>
      <c r="W98" s="3"/>
      <c r="X98" s="3"/>
      <c r="Y98" s="3"/>
      <c r="Z98" s="3"/>
      <c r="AA98" s="3"/>
      <c r="AB98" s="3"/>
      <c r="AC98" s="3"/>
      <c r="AD98" s="3"/>
    </row>
    <row r="99" spans="1:30" ht="14.4">
      <c r="A99" s="6"/>
      <c r="B99" s="3"/>
      <c r="C99" s="3"/>
      <c r="D99" s="3"/>
      <c r="E99" s="7"/>
      <c r="G99" s="3"/>
      <c r="H99" s="3"/>
      <c r="I99" s="3"/>
      <c r="J99" s="3"/>
      <c r="K99" s="3"/>
      <c r="L99" s="3"/>
      <c r="M99" s="3"/>
      <c r="N99" s="3"/>
      <c r="O99" s="3"/>
      <c r="P99" s="3"/>
      <c r="Q99" s="3"/>
      <c r="R99" s="3"/>
      <c r="S99" s="3"/>
      <c r="T99" s="3"/>
      <c r="U99" s="3"/>
      <c r="V99" s="3"/>
      <c r="W99" s="3"/>
      <c r="X99" s="3"/>
      <c r="Y99" s="3"/>
      <c r="Z99" s="3"/>
      <c r="AA99" s="3"/>
      <c r="AB99" s="3"/>
      <c r="AC99" s="3"/>
      <c r="AD99" s="3"/>
    </row>
    <row r="100" spans="1:30" ht="14.4">
      <c r="A100" s="6"/>
      <c r="B100" s="3"/>
      <c r="C100" s="3"/>
      <c r="D100" s="3"/>
      <c r="E100" s="7"/>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ht="14.4">
      <c r="A101" s="6"/>
      <c r="B101" s="3"/>
      <c r="C101" s="3"/>
      <c r="D101" s="3"/>
      <c r="E101" s="7"/>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ht="14.4">
      <c r="A102" s="6"/>
      <c r="B102" s="3"/>
      <c r="C102" s="3"/>
      <c r="D102" s="3"/>
      <c r="E102" s="7"/>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ht="14.4">
      <c r="A103" s="6"/>
      <c r="B103" s="3"/>
      <c r="C103" s="3"/>
      <c r="D103" s="3"/>
      <c r="E103" s="7"/>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ht="14.4">
      <c r="A104" s="6"/>
      <c r="B104" s="3"/>
      <c r="C104" s="3"/>
      <c r="D104" s="3"/>
      <c r="E104" s="7"/>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ht="14.4">
      <c r="A105" s="6"/>
      <c r="B105" s="3"/>
      <c r="C105" s="3"/>
      <c r="D105" s="3"/>
      <c r="E105" s="7"/>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ht="14.4">
      <c r="A106" s="6"/>
      <c r="B106" s="3"/>
      <c r="C106" s="3"/>
      <c r="D106" s="3"/>
      <c r="E106" s="7"/>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ht="14.4">
      <c r="A107" s="6"/>
      <c r="B107" s="3"/>
      <c r="C107" s="3"/>
      <c r="D107" s="3"/>
      <c r="E107" s="7"/>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ht="14.4">
      <c r="A108" s="6"/>
      <c r="B108" s="3"/>
      <c r="C108" s="3"/>
      <c r="D108" s="3"/>
      <c r="E108" s="7"/>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ht="14.4">
      <c r="A109" s="6"/>
      <c r="B109" s="3"/>
      <c r="C109" s="3"/>
      <c r="D109" s="3"/>
      <c r="E109" s="7"/>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ht="14.4">
      <c r="A110" s="6"/>
      <c r="B110" s="3"/>
      <c r="C110" s="3"/>
      <c r="D110" s="3"/>
      <c r="E110" s="7"/>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ht="14.4">
      <c r="A111" s="6"/>
      <c r="B111" s="3"/>
      <c r="C111" s="3"/>
      <c r="D111" s="3"/>
      <c r="E111" s="7"/>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ht="14.4">
      <c r="A112" s="6"/>
      <c r="B112" s="3"/>
      <c r="C112" s="3"/>
      <c r="D112" s="3"/>
      <c r="E112" s="7"/>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ht="14.4">
      <c r="A113" s="6"/>
      <c r="B113" s="3"/>
      <c r="C113" s="3"/>
      <c r="D113" s="3"/>
      <c r="E113" s="7"/>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ht="14.4">
      <c r="A114" s="6"/>
      <c r="B114" s="3"/>
      <c r="C114" s="3"/>
      <c r="D114" s="3"/>
      <c r="E114" s="7"/>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ht="14.4">
      <c r="A115" s="6"/>
      <c r="B115" s="3"/>
      <c r="C115" s="3"/>
      <c r="D115" s="3"/>
      <c r="E115" s="7"/>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ht="14.4">
      <c r="A116" s="6"/>
      <c r="B116" s="3"/>
      <c r="C116" s="3"/>
      <c r="D116" s="3"/>
      <c r="E116" s="7"/>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ht="14.4">
      <c r="A117" s="6"/>
      <c r="B117" s="3"/>
      <c r="C117" s="3"/>
      <c r="D117" s="3"/>
      <c r="E117" s="7"/>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ht="14.4">
      <c r="A118" s="6"/>
      <c r="B118" s="3"/>
      <c r="C118" s="3"/>
      <c r="D118" s="3"/>
      <c r="E118" s="7"/>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ht="14.4">
      <c r="A119" s="6"/>
      <c r="B119" s="3"/>
      <c r="C119" s="3"/>
      <c r="D119" s="3"/>
      <c r="E119" s="7"/>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ht="14.4">
      <c r="A120" s="6"/>
      <c r="B120" s="3"/>
      <c r="C120" s="3"/>
      <c r="D120" s="3"/>
      <c r="E120" s="7"/>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ht="14.4">
      <c r="A121" s="6"/>
      <c r="B121" s="3"/>
      <c r="C121" s="3"/>
      <c r="D121" s="3"/>
      <c r="E121" s="7"/>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ht="14.4">
      <c r="A122" s="6"/>
      <c r="B122" s="3"/>
      <c r="C122" s="3"/>
      <c r="D122" s="3"/>
      <c r="E122" s="7"/>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ht="14.4">
      <c r="A123" s="6"/>
      <c r="B123" s="3"/>
      <c r="C123" s="3"/>
      <c r="D123" s="3"/>
      <c r="E123" s="7"/>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ht="14.4">
      <c r="A124" s="6"/>
      <c r="B124" s="3"/>
      <c r="C124" s="3"/>
      <c r="D124" s="3"/>
      <c r="E124" s="7"/>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ht="14.4">
      <c r="A125" s="6"/>
      <c r="B125" s="3"/>
      <c r="C125" s="3"/>
      <c r="D125" s="3"/>
      <c r="E125" s="7"/>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ht="14.4">
      <c r="A126" s="6"/>
      <c r="B126" s="3"/>
      <c r="C126" s="3"/>
      <c r="D126" s="3"/>
      <c r="E126" s="7"/>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ht="14.4">
      <c r="A127" s="6"/>
      <c r="B127" s="3"/>
      <c r="C127" s="3"/>
      <c r="D127" s="3"/>
      <c r="E127" s="7"/>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ht="14.4">
      <c r="A128" s="6"/>
      <c r="B128" s="3"/>
      <c r="C128" s="3"/>
      <c r="D128" s="3"/>
      <c r="E128" s="7"/>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ht="14.4">
      <c r="A129" s="6"/>
      <c r="B129" s="3"/>
      <c r="C129" s="3"/>
      <c r="D129" s="3"/>
      <c r="E129" s="7"/>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ht="14.4">
      <c r="A130" s="6"/>
      <c r="B130" s="3"/>
      <c r="C130" s="3"/>
      <c r="D130" s="3"/>
      <c r="E130" s="7"/>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ht="14.4">
      <c r="A131" s="6"/>
      <c r="B131" s="3"/>
      <c r="C131" s="3"/>
      <c r="D131" s="3"/>
      <c r="E131" s="7"/>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ht="14.4">
      <c r="A132" s="6"/>
      <c r="B132" s="3"/>
      <c r="C132" s="3"/>
      <c r="D132" s="3"/>
      <c r="E132" s="7"/>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ht="14.4">
      <c r="A133" s="6"/>
      <c r="B133" s="3"/>
      <c r="C133" s="3"/>
      <c r="D133" s="3"/>
      <c r="E133" s="7"/>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ht="14.4">
      <c r="A134" s="6"/>
      <c r="B134" s="3"/>
      <c r="C134" s="3"/>
      <c r="D134" s="3"/>
      <c r="E134" s="7"/>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ht="14.4">
      <c r="A135" s="6"/>
      <c r="B135" s="3"/>
      <c r="C135" s="3"/>
      <c r="D135" s="3"/>
      <c r="E135" s="7"/>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ht="14.4">
      <c r="A136" s="6"/>
      <c r="B136" s="3"/>
      <c r="C136" s="3"/>
      <c r="D136" s="3"/>
      <c r="E136" s="7"/>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ht="14.4">
      <c r="A137" s="6"/>
      <c r="B137" s="3"/>
      <c r="C137" s="3"/>
      <c r="D137" s="3"/>
      <c r="E137" s="7"/>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ht="14.4">
      <c r="A138" s="6"/>
      <c r="B138" s="3"/>
      <c r="C138" s="3"/>
      <c r="D138" s="3"/>
      <c r="E138" s="7"/>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ht="14.4">
      <c r="A139" s="6"/>
      <c r="B139" s="3"/>
      <c r="C139" s="3"/>
      <c r="D139" s="3"/>
      <c r="E139" s="7"/>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ht="14.4">
      <c r="A140" s="6"/>
      <c r="B140" s="3"/>
      <c r="C140" s="3"/>
      <c r="D140" s="3"/>
      <c r="E140" s="7"/>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ht="14.4">
      <c r="A141" s="6"/>
      <c r="B141" s="3"/>
      <c r="C141" s="3"/>
      <c r="D141" s="3"/>
      <c r="E141" s="7"/>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ht="14.4">
      <c r="A142" s="6"/>
      <c r="B142" s="3"/>
      <c r="C142" s="3"/>
      <c r="D142" s="3"/>
      <c r="E142" s="7"/>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ht="14.4">
      <c r="A143" s="6"/>
      <c r="B143" s="3"/>
      <c r="C143" s="3"/>
      <c r="D143" s="3"/>
      <c r="E143" s="7"/>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ht="14.4">
      <c r="A144" s="6"/>
      <c r="B144" s="3"/>
      <c r="C144" s="3"/>
      <c r="D144" s="3"/>
      <c r="E144" s="7"/>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ht="14.4">
      <c r="A145" s="6"/>
      <c r="B145" s="3"/>
      <c r="C145" s="3"/>
      <c r="D145" s="3"/>
      <c r="E145" s="7"/>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ht="14.4">
      <c r="A146" s="6"/>
      <c r="B146" s="3"/>
      <c r="C146" s="3"/>
      <c r="D146" s="3"/>
      <c r="E146" s="7"/>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ht="14.4">
      <c r="A147" s="6"/>
      <c r="B147" s="3"/>
      <c r="C147" s="3"/>
      <c r="D147" s="3"/>
      <c r="E147" s="7"/>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ht="14.4">
      <c r="A148" s="6"/>
      <c r="B148" s="3"/>
      <c r="C148" s="3"/>
      <c r="D148" s="3"/>
      <c r="E148" s="7"/>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ht="14.4">
      <c r="A149" s="6"/>
      <c r="B149" s="3"/>
      <c r="C149" s="3"/>
      <c r="D149" s="3"/>
      <c r="E149" s="7"/>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ht="14.4">
      <c r="A150" s="6"/>
      <c r="B150" s="3"/>
      <c r="C150" s="3"/>
      <c r="D150" s="3"/>
      <c r="E150" s="7"/>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ht="14.4">
      <c r="A151" s="6"/>
      <c r="B151" s="3"/>
      <c r="C151" s="3"/>
      <c r="D151" s="3"/>
      <c r="E151" s="7"/>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ht="14.4">
      <c r="A152" s="6"/>
      <c r="B152" s="3"/>
      <c r="C152" s="3"/>
      <c r="D152" s="3"/>
      <c r="E152" s="7"/>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ht="14.4">
      <c r="A153" s="6"/>
      <c r="B153" s="3"/>
      <c r="C153" s="3"/>
      <c r="D153" s="3"/>
      <c r="E153" s="7"/>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ht="14.4">
      <c r="A154" s="6"/>
      <c r="B154" s="3"/>
      <c r="C154" s="3"/>
      <c r="D154" s="3"/>
      <c r="E154" s="7"/>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ht="14.4">
      <c r="A155" s="6"/>
      <c r="B155" s="3"/>
      <c r="C155" s="3"/>
      <c r="D155" s="3"/>
      <c r="E155" s="7"/>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ht="14.4">
      <c r="A156" s="6"/>
      <c r="B156" s="3"/>
      <c r="C156" s="3"/>
      <c r="D156" s="3"/>
      <c r="E156" s="7"/>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ht="14.4">
      <c r="A157" s="6"/>
      <c r="B157" s="3"/>
      <c r="C157" s="3"/>
      <c r="D157" s="3"/>
      <c r="E157" s="7"/>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ht="14.4">
      <c r="A158" s="6"/>
      <c r="B158" s="3"/>
      <c r="C158" s="3"/>
      <c r="D158" s="3"/>
      <c r="E158" s="7"/>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ht="14.4">
      <c r="A159" s="6"/>
      <c r="B159" s="3"/>
      <c r="C159" s="3"/>
      <c r="D159" s="3"/>
      <c r="E159" s="7"/>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ht="14.4">
      <c r="A160" s="6"/>
      <c r="B160" s="3"/>
      <c r="C160" s="3"/>
      <c r="D160" s="3"/>
      <c r="E160" s="7"/>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ht="14.4">
      <c r="A161" s="6"/>
      <c r="B161" s="3"/>
      <c r="C161" s="3"/>
      <c r="D161" s="3"/>
      <c r="E161" s="7"/>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ht="14.4">
      <c r="A162" s="6"/>
      <c r="B162" s="3"/>
      <c r="C162" s="3"/>
      <c r="D162" s="3"/>
      <c r="E162" s="7"/>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ht="14.4">
      <c r="A163" s="6"/>
      <c r="B163" s="3"/>
      <c r="C163" s="3"/>
      <c r="D163" s="3"/>
      <c r="E163" s="7"/>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ht="14.4">
      <c r="A164" s="6"/>
      <c r="B164" s="3"/>
      <c r="C164" s="3"/>
      <c r="D164" s="3"/>
      <c r="E164" s="7"/>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ht="14.4">
      <c r="A165" s="6"/>
      <c r="B165" s="3"/>
      <c r="C165" s="3"/>
      <c r="D165" s="3"/>
      <c r="E165" s="7"/>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ht="14.4">
      <c r="A166" s="6"/>
      <c r="B166" s="3"/>
      <c r="C166" s="3"/>
      <c r="D166" s="3"/>
      <c r="E166" s="7"/>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ht="14.4">
      <c r="A167" s="6"/>
      <c r="B167" s="3"/>
      <c r="C167" s="3"/>
      <c r="D167" s="3"/>
      <c r="E167" s="7"/>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ht="14.4">
      <c r="A168" s="6"/>
      <c r="B168" s="3"/>
      <c r="C168" s="3"/>
      <c r="D168" s="3"/>
      <c r="E168" s="7"/>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ht="14.4">
      <c r="A169" s="6"/>
      <c r="B169" s="3"/>
      <c r="C169" s="3"/>
      <c r="D169" s="3"/>
      <c r="E169" s="7"/>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ht="14.4">
      <c r="A170" s="6"/>
      <c r="B170" s="3"/>
      <c r="C170" s="3"/>
      <c r="D170" s="3"/>
      <c r="E170" s="7"/>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ht="14.4">
      <c r="A171" s="6"/>
      <c r="B171" s="3"/>
      <c r="C171" s="3"/>
      <c r="D171" s="3"/>
      <c r="E171" s="7"/>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ht="14.4">
      <c r="A172" s="6"/>
      <c r="B172" s="3"/>
      <c r="C172" s="3"/>
      <c r="D172" s="3"/>
      <c r="E172" s="7"/>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ht="14.4">
      <c r="A173" s="6"/>
      <c r="B173" s="3"/>
      <c r="C173" s="3"/>
      <c r="D173" s="3"/>
      <c r="E173" s="7"/>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ht="14.4">
      <c r="A174" s="6"/>
      <c r="B174" s="3"/>
      <c r="C174" s="3"/>
      <c r="D174" s="3"/>
      <c r="E174" s="7"/>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ht="14.4">
      <c r="A175" s="6"/>
      <c r="B175" s="3"/>
      <c r="C175" s="3"/>
      <c r="D175" s="3"/>
      <c r="E175" s="7"/>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ht="14.4">
      <c r="A176" s="6"/>
      <c r="B176" s="3"/>
      <c r="C176" s="3"/>
      <c r="D176" s="3"/>
      <c r="E176" s="7"/>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ht="14.4">
      <c r="A177" s="6"/>
      <c r="B177" s="3"/>
      <c r="C177" s="3"/>
      <c r="D177" s="3"/>
      <c r="E177" s="7"/>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ht="14.4">
      <c r="A178" s="6"/>
      <c r="B178" s="3"/>
      <c r="C178" s="3"/>
      <c r="D178" s="3"/>
      <c r="E178" s="7"/>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ht="14.4">
      <c r="A179" s="6"/>
      <c r="B179" s="3"/>
      <c r="C179" s="3"/>
      <c r="D179" s="3"/>
      <c r="E179" s="7"/>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ht="14.4">
      <c r="A180" s="6"/>
      <c r="B180" s="3"/>
      <c r="C180" s="3"/>
      <c r="D180" s="3"/>
      <c r="E180" s="7"/>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ht="14.4">
      <c r="A181" s="6"/>
      <c r="B181" s="3"/>
      <c r="C181" s="3"/>
      <c r="D181" s="3"/>
      <c r="E181" s="7"/>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ht="14.4">
      <c r="A182" s="6"/>
      <c r="B182" s="3"/>
      <c r="C182" s="3"/>
      <c r="D182" s="3"/>
      <c r="E182" s="7"/>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ht="14.4">
      <c r="A183" s="6"/>
      <c r="B183" s="3"/>
      <c r="C183" s="3"/>
      <c r="D183" s="3"/>
      <c r="E183" s="7"/>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ht="14.4">
      <c r="A184" s="6"/>
      <c r="B184" s="3"/>
      <c r="C184" s="3"/>
      <c r="D184" s="3"/>
      <c r="E184" s="7"/>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ht="14.4">
      <c r="A185" s="6"/>
      <c r="B185" s="3"/>
      <c r="C185" s="3"/>
      <c r="D185" s="3"/>
      <c r="E185" s="7"/>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ht="14.4">
      <c r="A186" s="6"/>
      <c r="B186" s="3"/>
      <c r="C186" s="3"/>
      <c r="D186" s="3"/>
      <c r="E186" s="7"/>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ht="14.4">
      <c r="A187" s="6"/>
      <c r="B187" s="3"/>
      <c r="C187" s="3"/>
      <c r="D187" s="3"/>
      <c r="E187" s="7"/>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ht="14.4">
      <c r="A188" s="6"/>
      <c r="B188" s="3"/>
      <c r="C188" s="3"/>
      <c r="D188" s="3"/>
      <c r="E188" s="7"/>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ht="14.4">
      <c r="A189" s="6"/>
      <c r="B189" s="3"/>
      <c r="C189" s="3"/>
      <c r="D189" s="3"/>
      <c r="E189" s="7"/>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ht="14.4">
      <c r="A190" s="6"/>
      <c r="B190" s="3"/>
      <c r="C190" s="3"/>
      <c r="D190" s="3"/>
      <c r="E190" s="7"/>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ht="14.4">
      <c r="A191" s="6"/>
      <c r="B191" s="3"/>
      <c r="C191" s="3"/>
      <c r="D191" s="3"/>
      <c r="E191" s="7"/>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ht="14.4">
      <c r="A192" s="6"/>
      <c r="B192" s="3"/>
      <c r="C192" s="3"/>
      <c r="D192" s="3"/>
      <c r="E192" s="7"/>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ht="14.4">
      <c r="A193" s="6"/>
      <c r="B193" s="3"/>
      <c r="C193" s="3"/>
      <c r="D193" s="3"/>
      <c r="E193" s="7"/>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ht="14.4">
      <c r="A194" s="6"/>
      <c r="B194" s="3"/>
      <c r="C194" s="3"/>
      <c r="D194" s="3"/>
      <c r="E194" s="7"/>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ht="14.4">
      <c r="A195" s="6"/>
      <c r="B195" s="3"/>
      <c r="C195" s="3"/>
      <c r="D195" s="3"/>
      <c r="E195" s="7"/>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ht="14.4">
      <c r="A196" s="6"/>
      <c r="B196" s="3"/>
      <c r="C196" s="3"/>
      <c r="D196" s="3"/>
      <c r="E196" s="7"/>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ht="14.4">
      <c r="A197" s="6"/>
      <c r="B197" s="3"/>
      <c r="C197" s="3"/>
      <c r="D197" s="3"/>
      <c r="E197" s="7"/>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ht="14.4">
      <c r="A198" s="6"/>
      <c r="B198" s="3"/>
      <c r="C198" s="3"/>
      <c r="D198" s="3"/>
      <c r="E198" s="7"/>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ht="14.4">
      <c r="A199" s="6"/>
      <c r="B199" s="3"/>
      <c r="C199" s="3"/>
      <c r="D199" s="3"/>
      <c r="E199" s="7"/>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ht="14.4">
      <c r="A200" s="6"/>
      <c r="B200" s="3"/>
      <c r="C200" s="3"/>
      <c r="D200" s="3"/>
      <c r="E200" s="7"/>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ht="14.4">
      <c r="A201" s="6"/>
      <c r="B201" s="3"/>
      <c r="C201" s="3"/>
      <c r="D201" s="3"/>
      <c r="E201" s="7"/>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ht="14.4">
      <c r="A202" s="6"/>
      <c r="B202" s="3"/>
      <c r="C202" s="3"/>
      <c r="D202" s="3"/>
      <c r="E202" s="7"/>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ht="14.4">
      <c r="A203" s="6"/>
      <c r="B203" s="3"/>
      <c r="C203" s="3"/>
      <c r="D203" s="3"/>
      <c r="E203" s="7"/>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ht="14.4">
      <c r="A204" s="6"/>
      <c r="B204" s="3"/>
      <c r="C204" s="3"/>
      <c r="D204" s="3"/>
      <c r="E204" s="7"/>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ht="14.4">
      <c r="A205" s="6"/>
      <c r="B205" s="3"/>
      <c r="C205" s="3"/>
      <c r="D205" s="3"/>
      <c r="E205" s="7"/>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ht="14.4">
      <c r="A206" s="6"/>
      <c r="B206" s="3"/>
      <c r="C206" s="3"/>
      <c r="D206" s="3"/>
      <c r="E206" s="7"/>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ht="14.4">
      <c r="A207" s="6"/>
      <c r="B207" s="3"/>
      <c r="C207" s="3"/>
      <c r="D207" s="3"/>
      <c r="E207" s="7"/>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ht="14.4">
      <c r="A208" s="6"/>
      <c r="B208" s="3"/>
      <c r="C208" s="3"/>
      <c r="D208" s="3"/>
      <c r="E208" s="7"/>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ht="14.4">
      <c r="A209" s="6"/>
      <c r="B209" s="3"/>
      <c r="C209" s="3"/>
      <c r="D209" s="3"/>
      <c r="E209" s="7"/>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ht="14.4">
      <c r="A210" s="6"/>
      <c r="B210" s="3"/>
      <c r="C210" s="3"/>
      <c r="D210" s="3"/>
      <c r="E210" s="7"/>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ht="14.4">
      <c r="A211" s="6"/>
      <c r="B211" s="3"/>
      <c r="C211" s="3"/>
      <c r="D211" s="3"/>
      <c r="E211" s="7"/>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ht="14.4">
      <c r="A212" s="6"/>
      <c r="B212" s="3"/>
      <c r="C212" s="3"/>
      <c r="D212" s="3"/>
      <c r="E212" s="7"/>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ht="14.4">
      <c r="A213" s="6"/>
      <c r="B213" s="3"/>
      <c r="C213" s="3"/>
      <c r="D213" s="3"/>
      <c r="E213" s="7"/>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ht="14.4">
      <c r="A214" s="6"/>
      <c r="B214" s="3"/>
      <c r="C214" s="3"/>
      <c r="D214" s="3"/>
      <c r="E214" s="7"/>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ht="14.4">
      <c r="A215" s="6"/>
      <c r="B215" s="3"/>
      <c r="C215" s="3"/>
      <c r="D215" s="3"/>
      <c r="E215" s="7"/>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ht="14.4">
      <c r="A216" s="6"/>
      <c r="B216" s="3"/>
      <c r="C216" s="3"/>
      <c r="D216" s="3"/>
      <c r="E216" s="7"/>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ht="14.4">
      <c r="A217" s="6"/>
      <c r="B217" s="3"/>
      <c r="C217" s="3"/>
      <c r="D217" s="3"/>
      <c r="E217" s="7"/>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ht="14.4">
      <c r="A218" s="6"/>
      <c r="B218" s="3"/>
      <c r="C218" s="3"/>
      <c r="D218" s="3"/>
      <c r="E218" s="7"/>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ht="14.4">
      <c r="A219" s="6"/>
      <c r="B219" s="3"/>
      <c r="C219" s="3"/>
      <c r="D219" s="3"/>
      <c r="E219" s="7"/>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ht="14.4">
      <c r="A220" s="6"/>
      <c r="B220" s="3"/>
      <c r="C220" s="3"/>
      <c r="D220" s="3"/>
      <c r="E220" s="7"/>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ht="14.4">
      <c r="A221" s="6"/>
      <c r="B221" s="3"/>
      <c r="C221" s="3"/>
      <c r="D221" s="3"/>
      <c r="E221" s="7"/>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ht="14.4">
      <c r="A222" s="6"/>
      <c r="B222" s="3"/>
      <c r="C222" s="3"/>
      <c r="D222" s="3"/>
      <c r="E222" s="7"/>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ht="14.4">
      <c r="A223" s="6"/>
      <c r="B223" s="3"/>
      <c r="C223" s="3"/>
      <c r="D223" s="3"/>
      <c r="E223" s="7"/>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ht="14.4">
      <c r="A224" s="6"/>
      <c r="B224" s="3"/>
      <c r="C224" s="3"/>
      <c r="D224" s="3"/>
      <c r="E224" s="7"/>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ht="14.4">
      <c r="A225" s="6"/>
      <c r="B225" s="3"/>
      <c r="C225" s="3"/>
      <c r="D225" s="3"/>
      <c r="E225" s="7"/>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ht="14.4">
      <c r="A226" s="6"/>
      <c r="B226" s="3"/>
      <c r="C226" s="3"/>
      <c r="D226" s="3"/>
      <c r="E226" s="7"/>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ht="14.4">
      <c r="A227" s="6"/>
      <c r="B227" s="3"/>
      <c r="C227" s="3"/>
      <c r="D227" s="3"/>
      <c r="E227" s="7"/>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ht="14.4">
      <c r="A228" s="6"/>
      <c r="B228" s="3"/>
      <c r="C228" s="3"/>
      <c r="D228" s="3"/>
      <c r="E228" s="7"/>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ht="14.4">
      <c r="A229" s="6"/>
      <c r="B229" s="3"/>
      <c r="C229" s="3"/>
      <c r="D229" s="3"/>
      <c r="E229" s="7"/>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ht="14.4">
      <c r="A230" s="6"/>
      <c r="B230" s="3"/>
      <c r="C230" s="3"/>
      <c r="D230" s="3"/>
      <c r="E230" s="7"/>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ht="14.4">
      <c r="A231" s="6"/>
      <c r="B231" s="3"/>
      <c r="C231" s="3"/>
      <c r="D231" s="3"/>
      <c r="E231" s="7"/>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ht="14.4">
      <c r="A232" s="6"/>
      <c r="B232" s="3"/>
      <c r="C232" s="3"/>
      <c r="D232" s="3"/>
      <c r="E232" s="7"/>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ht="14.4">
      <c r="A233" s="6"/>
      <c r="B233" s="3"/>
      <c r="C233" s="3"/>
      <c r="D233" s="3"/>
      <c r="E233" s="7"/>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ht="14.4">
      <c r="A234" s="6"/>
      <c r="B234" s="3"/>
      <c r="C234" s="3"/>
      <c r="D234" s="3"/>
      <c r="E234" s="7"/>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ht="14.4">
      <c r="A235" s="6"/>
      <c r="B235" s="3"/>
      <c r="C235" s="3"/>
      <c r="D235" s="3"/>
      <c r="E235" s="7"/>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ht="14.4">
      <c r="A236" s="6"/>
      <c r="B236" s="3"/>
      <c r="C236" s="3"/>
      <c r="D236" s="3"/>
      <c r="E236" s="7"/>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ht="14.4">
      <c r="A237" s="6"/>
      <c r="B237" s="3"/>
      <c r="C237" s="3"/>
      <c r="D237" s="3"/>
      <c r="E237" s="7"/>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ht="14.4">
      <c r="A238" s="6"/>
      <c r="B238" s="3"/>
      <c r="C238" s="3"/>
      <c r="D238" s="3"/>
      <c r="E238" s="7"/>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ht="14.4">
      <c r="A239" s="6"/>
      <c r="B239" s="3"/>
      <c r="C239" s="3"/>
      <c r="D239" s="3"/>
      <c r="E239" s="7"/>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ht="14.4">
      <c r="A240" s="6"/>
      <c r="B240" s="3"/>
      <c r="C240" s="3"/>
      <c r="D240" s="3"/>
      <c r="E240" s="7"/>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ht="14.4">
      <c r="A241" s="6"/>
      <c r="B241" s="3"/>
      <c r="C241" s="3"/>
      <c r="D241" s="3"/>
      <c r="E241" s="7"/>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ht="14.4">
      <c r="A242" s="6"/>
      <c r="B242" s="3"/>
      <c r="C242" s="3"/>
      <c r="D242" s="3"/>
      <c r="E242" s="7"/>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ht="14.4">
      <c r="A243" s="6"/>
      <c r="B243" s="3"/>
      <c r="C243" s="3"/>
      <c r="D243" s="3"/>
      <c r="E243" s="7"/>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ht="14.4">
      <c r="A244" s="6"/>
      <c r="B244" s="3"/>
      <c r="C244" s="3"/>
      <c r="D244" s="3"/>
      <c r="E244" s="7"/>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ht="14.4">
      <c r="A245" s="6"/>
      <c r="B245" s="3"/>
      <c r="C245" s="3"/>
      <c r="D245" s="3"/>
      <c r="E245" s="7"/>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ht="14.4">
      <c r="A246" s="6"/>
      <c r="B246" s="3"/>
      <c r="C246" s="3"/>
      <c r="D246" s="3"/>
      <c r="E246" s="7"/>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ht="14.4">
      <c r="A247" s="6"/>
      <c r="B247" s="3"/>
      <c r="C247" s="3"/>
      <c r="D247" s="3"/>
      <c r="E247" s="7"/>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ht="14.4">
      <c r="A248" s="6"/>
      <c r="B248" s="3"/>
      <c r="C248" s="3"/>
      <c r="D248" s="3"/>
      <c r="E248" s="7"/>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ht="14.4">
      <c r="A249" s="6"/>
      <c r="B249" s="3"/>
      <c r="C249" s="3"/>
      <c r="D249" s="3"/>
      <c r="E249" s="7"/>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ht="14.4">
      <c r="A250" s="6"/>
      <c r="B250" s="3"/>
      <c r="C250" s="3"/>
      <c r="D250" s="3"/>
      <c r="E250" s="7"/>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ht="14.4">
      <c r="A251" s="6"/>
      <c r="B251" s="3"/>
      <c r="C251" s="3"/>
      <c r="D251" s="3"/>
      <c r="E251" s="7"/>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ht="14.4">
      <c r="A252" s="6"/>
      <c r="B252" s="3"/>
      <c r="C252" s="3"/>
      <c r="D252" s="3"/>
      <c r="E252" s="7"/>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ht="14.4">
      <c r="A253" s="6"/>
      <c r="B253" s="3"/>
      <c r="C253" s="3"/>
      <c r="D253" s="3"/>
      <c r="E253" s="7"/>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ht="14.4">
      <c r="A254" s="6"/>
      <c r="B254" s="3"/>
      <c r="C254" s="3"/>
      <c r="D254" s="3"/>
      <c r="E254" s="7"/>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ht="14.4">
      <c r="A255" s="6"/>
      <c r="B255" s="3"/>
      <c r="C255" s="3"/>
      <c r="D255" s="3"/>
      <c r="E255" s="7"/>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ht="14.4">
      <c r="A256" s="6"/>
      <c r="B256" s="3"/>
      <c r="C256" s="3"/>
      <c r="D256" s="3"/>
      <c r="E256" s="7"/>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ht="14.4">
      <c r="A257" s="6"/>
      <c r="B257" s="3"/>
      <c r="C257" s="3"/>
      <c r="D257" s="3"/>
      <c r="E257" s="7"/>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ht="14.4">
      <c r="A258" s="6"/>
      <c r="B258" s="3"/>
      <c r="C258" s="3"/>
      <c r="D258" s="3"/>
      <c r="E258" s="7"/>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ht="14.4">
      <c r="A259" s="6"/>
      <c r="B259" s="3"/>
      <c r="C259" s="3"/>
      <c r="D259" s="3"/>
      <c r="E259" s="7"/>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ht="14.4">
      <c r="A260" s="6"/>
      <c r="B260" s="3"/>
      <c r="C260" s="3"/>
      <c r="D260" s="3"/>
      <c r="E260" s="7"/>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ht="14.4">
      <c r="A261" s="6"/>
      <c r="B261" s="3"/>
      <c r="C261" s="3"/>
      <c r="D261" s="3"/>
      <c r="E261" s="7"/>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ht="14.4">
      <c r="A262" s="6"/>
      <c r="B262" s="3"/>
      <c r="C262" s="3"/>
      <c r="D262" s="3"/>
      <c r="E262" s="7"/>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ht="14.4">
      <c r="A263" s="6"/>
      <c r="B263" s="3"/>
      <c r="C263" s="3"/>
      <c r="D263" s="3"/>
      <c r="E263" s="7"/>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ht="14.4">
      <c r="A264" s="6"/>
      <c r="B264" s="3"/>
      <c r="C264" s="3"/>
      <c r="D264" s="3"/>
      <c r="E264" s="7"/>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ht="14.4">
      <c r="A265" s="6"/>
      <c r="B265" s="3"/>
      <c r="C265" s="3"/>
      <c r="D265" s="3"/>
      <c r="E265" s="7"/>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ht="14.4">
      <c r="A266" s="6"/>
      <c r="B266" s="3"/>
      <c r="C266" s="3"/>
      <c r="D266" s="3"/>
      <c r="E266" s="7"/>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ht="14.4">
      <c r="A267" s="6"/>
      <c r="B267" s="3"/>
      <c r="C267" s="3"/>
      <c r="D267" s="3"/>
      <c r="E267" s="7"/>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ht="14.4">
      <c r="A268" s="6"/>
      <c r="B268" s="3"/>
      <c r="C268" s="3"/>
      <c r="D268" s="3"/>
      <c r="E268" s="7"/>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ht="14.4">
      <c r="A269" s="6"/>
      <c r="B269" s="3"/>
      <c r="C269" s="3"/>
      <c r="D269" s="3"/>
      <c r="E269" s="7"/>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ht="14.4">
      <c r="A270" s="6"/>
      <c r="B270" s="3"/>
      <c r="C270" s="3"/>
      <c r="D270" s="3"/>
      <c r="E270" s="7"/>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ht="14.4">
      <c r="A271" s="6"/>
      <c r="B271" s="3"/>
      <c r="C271" s="3"/>
      <c r="D271" s="3"/>
      <c r="E271" s="7"/>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ht="14.4">
      <c r="A272" s="6"/>
      <c r="B272" s="3"/>
      <c r="C272" s="3"/>
      <c r="D272" s="3"/>
      <c r="E272" s="7"/>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ht="14.4">
      <c r="A273" s="6"/>
      <c r="B273" s="3"/>
      <c r="C273" s="3"/>
      <c r="D273" s="3"/>
      <c r="E273" s="7"/>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ht="14.4">
      <c r="A274" s="6"/>
      <c r="B274" s="3"/>
      <c r="C274" s="3"/>
      <c r="D274" s="3"/>
      <c r="E274" s="7"/>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ht="14.4">
      <c r="A275" s="6"/>
      <c r="B275" s="3"/>
      <c r="C275" s="3"/>
      <c r="D275" s="3"/>
      <c r="E275" s="7"/>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ht="14.4">
      <c r="A276" s="6"/>
      <c r="B276" s="3"/>
      <c r="C276" s="3"/>
      <c r="D276" s="3"/>
      <c r="E276" s="7"/>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ht="14.4">
      <c r="A277" s="6"/>
      <c r="B277" s="3"/>
      <c r="C277" s="3"/>
      <c r="D277" s="3"/>
      <c r="E277" s="7"/>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ht="14.4">
      <c r="A278" s="6"/>
      <c r="B278" s="3"/>
      <c r="C278" s="3"/>
      <c r="D278" s="3"/>
      <c r="E278" s="7"/>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ht="14.4">
      <c r="A279" s="6"/>
      <c r="B279" s="3"/>
      <c r="C279" s="3"/>
      <c r="D279" s="3"/>
      <c r="E279" s="7"/>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ht="14.4">
      <c r="A280" s="6"/>
      <c r="B280" s="3"/>
      <c r="C280" s="3"/>
      <c r="D280" s="3"/>
      <c r="E280" s="7"/>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ht="14.4">
      <c r="A281" s="6"/>
      <c r="B281" s="3"/>
      <c r="C281" s="3"/>
      <c r="D281" s="3"/>
      <c r="E281" s="7"/>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ht="14.4">
      <c r="A282" s="6"/>
      <c r="B282" s="3"/>
      <c r="C282" s="3"/>
      <c r="D282" s="3"/>
      <c r="E282" s="7"/>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ht="14.4">
      <c r="A283" s="6"/>
      <c r="B283" s="3"/>
      <c r="C283" s="3"/>
      <c r="D283" s="3"/>
      <c r="E283" s="7"/>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ht="14.4">
      <c r="A284" s="6"/>
      <c r="B284" s="3"/>
      <c r="C284" s="3"/>
      <c r="D284" s="3"/>
      <c r="E284" s="7"/>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ht="14.4">
      <c r="A285" s="6"/>
      <c r="B285" s="3"/>
      <c r="C285" s="3"/>
      <c r="D285" s="3"/>
      <c r="E285" s="7"/>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ht="14.4">
      <c r="A286" s="6"/>
      <c r="B286" s="3"/>
      <c r="C286" s="3"/>
      <c r="D286" s="3"/>
      <c r="E286" s="7"/>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ht="14.4">
      <c r="A287" s="6"/>
      <c r="B287" s="3"/>
      <c r="C287" s="3"/>
      <c r="D287" s="3"/>
      <c r="E287" s="7"/>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ht="14.4">
      <c r="A288" s="6"/>
      <c r="B288" s="3"/>
      <c r="C288" s="3"/>
      <c r="D288" s="3"/>
      <c r="E288" s="7"/>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ht="14.4">
      <c r="A289" s="6"/>
      <c r="B289" s="3"/>
      <c r="C289" s="3"/>
      <c r="D289" s="3"/>
      <c r="E289" s="7"/>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ht="14.4">
      <c r="A290" s="6"/>
      <c r="B290" s="3"/>
      <c r="C290" s="3"/>
      <c r="D290" s="3"/>
      <c r="E290" s="7"/>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ht="14.4">
      <c r="A291" s="6"/>
      <c r="B291" s="3"/>
      <c r="C291" s="3"/>
      <c r="D291" s="3"/>
      <c r="E291" s="7"/>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ht="14.4">
      <c r="A292" s="6"/>
      <c r="B292" s="3"/>
      <c r="C292" s="3"/>
      <c r="D292" s="3"/>
      <c r="E292" s="7"/>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ht="14.4">
      <c r="A293" s="6"/>
      <c r="B293" s="3"/>
      <c r="C293" s="3"/>
      <c r="D293" s="3"/>
      <c r="E293" s="7"/>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ht="14.4">
      <c r="A294" s="6"/>
      <c r="B294" s="3"/>
      <c r="C294" s="3"/>
      <c r="D294" s="3"/>
      <c r="E294" s="7"/>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ht="14.4">
      <c r="A295" s="6"/>
      <c r="B295" s="3"/>
      <c r="C295" s="3"/>
      <c r="D295" s="3"/>
      <c r="E295" s="7"/>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ht="14.4">
      <c r="A296" s="6"/>
      <c r="B296" s="3"/>
      <c r="C296" s="3"/>
      <c r="D296" s="3"/>
      <c r="E296" s="7"/>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ht="14.4">
      <c r="A297" s="6"/>
      <c r="B297" s="3"/>
      <c r="C297" s="3"/>
      <c r="D297" s="3"/>
      <c r="E297" s="7"/>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ht="14.4">
      <c r="A298" s="6"/>
      <c r="B298" s="3"/>
      <c r="C298" s="3"/>
      <c r="D298" s="3"/>
      <c r="E298" s="7"/>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ht="14.4">
      <c r="A299" s="6"/>
      <c r="B299" s="3"/>
      <c r="C299" s="3"/>
      <c r="D299" s="3"/>
      <c r="E299" s="7"/>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ht="14.4">
      <c r="A300" s="6"/>
      <c r="B300" s="3"/>
      <c r="C300" s="3"/>
      <c r="D300" s="3"/>
      <c r="E300" s="7"/>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ht="14.4">
      <c r="A301" s="6"/>
      <c r="B301" s="3"/>
      <c r="C301" s="3"/>
      <c r="D301" s="3"/>
      <c r="E301" s="7"/>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ht="14.4">
      <c r="A302" s="6"/>
      <c r="B302" s="3"/>
      <c r="C302" s="3"/>
      <c r="D302" s="3"/>
      <c r="E302" s="7"/>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ht="14.4">
      <c r="A303" s="6"/>
      <c r="B303" s="3"/>
      <c r="C303" s="3"/>
      <c r="D303" s="3"/>
      <c r="E303" s="7"/>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ht="14.4">
      <c r="A304" s="6"/>
      <c r="B304" s="3"/>
      <c r="C304" s="3"/>
      <c r="D304" s="3"/>
      <c r="E304" s="7"/>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ht="14.4">
      <c r="A305" s="6"/>
      <c r="B305" s="3"/>
      <c r="C305" s="3"/>
      <c r="D305" s="3"/>
      <c r="E305" s="7"/>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ht="14.4">
      <c r="A306" s="6"/>
      <c r="B306" s="3"/>
      <c r="C306" s="3"/>
      <c r="D306" s="3"/>
      <c r="E306" s="7"/>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ht="14.4">
      <c r="A307" s="6"/>
      <c r="B307" s="3"/>
      <c r="C307" s="3"/>
      <c r="D307" s="3"/>
      <c r="E307" s="7"/>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ht="14.4">
      <c r="A308" s="6"/>
      <c r="B308" s="3"/>
      <c r="C308" s="3"/>
      <c r="D308" s="3"/>
      <c r="E308" s="7"/>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ht="14.4">
      <c r="A309" s="6"/>
      <c r="B309" s="3"/>
      <c r="C309" s="3"/>
      <c r="D309" s="3"/>
      <c r="E309" s="7"/>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ht="14.4">
      <c r="A310" s="6"/>
      <c r="B310" s="3"/>
      <c r="C310" s="3"/>
      <c r="D310" s="3"/>
      <c r="E310" s="7"/>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ht="14.4">
      <c r="A311" s="6"/>
      <c r="B311" s="3"/>
      <c r="C311" s="3"/>
      <c r="D311" s="3"/>
      <c r="E311" s="7"/>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ht="14.4">
      <c r="A312" s="6"/>
      <c r="B312" s="3"/>
      <c r="C312" s="3"/>
      <c r="D312" s="3"/>
      <c r="E312" s="7"/>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ht="14.4">
      <c r="A313" s="6"/>
      <c r="B313" s="3"/>
      <c r="C313" s="3"/>
      <c r="D313" s="3"/>
      <c r="E313" s="7"/>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ht="14.4">
      <c r="A314" s="6"/>
      <c r="B314" s="3"/>
      <c r="C314" s="3"/>
      <c r="D314" s="3"/>
      <c r="E314" s="7"/>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ht="14.4">
      <c r="A315" s="6"/>
      <c r="B315" s="3"/>
      <c r="C315" s="3"/>
      <c r="D315" s="3"/>
      <c r="E315" s="7"/>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ht="14.4">
      <c r="A316" s="6"/>
      <c r="B316" s="3"/>
      <c r="C316" s="3"/>
      <c r="D316" s="3"/>
      <c r="E316" s="7"/>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spans="1:30" ht="14.4">
      <c r="A317" s="6"/>
      <c r="B317" s="3"/>
      <c r="C317" s="3"/>
      <c r="D317" s="3"/>
      <c r="E317" s="7"/>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spans="1:30" ht="14.4">
      <c r="A318" s="6"/>
      <c r="B318" s="3"/>
      <c r="C318" s="3"/>
      <c r="D318" s="3"/>
      <c r="E318" s="7"/>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spans="1:30" ht="14.4">
      <c r="A319" s="6"/>
      <c r="B319" s="3"/>
      <c r="C319" s="3"/>
      <c r="D319" s="3"/>
      <c r="E319" s="7"/>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spans="1:30" ht="14.4">
      <c r="A320" s="6"/>
      <c r="B320" s="3"/>
      <c r="C320" s="3"/>
      <c r="D320" s="3"/>
      <c r="E320" s="7"/>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spans="1:30" ht="14.4">
      <c r="A321" s="6"/>
      <c r="B321" s="3"/>
      <c r="C321" s="3"/>
      <c r="D321" s="3"/>
      <c r="E321" s="7"/>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spans="1:30" ht="14.4">
      <c r="A322" s="6"/>
      <c r="B322" s="3"/>
      <c r="C322" s="3"/>
      <c r="D322" s="3"/>
      <c r="E322" s="7"/>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spans="1:30" ht="14.4">
      <c r="A323" s="6"/>
      <c r="B323" s="3"/>
      <c r="C323" s="3"/>
      <c r="D323" s="3"/>
      <c r="E323" s="7"/>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spans="1:30" ht="14.4">
      <c r="A324" s="6"/>
      <c r="B324" s="3"/>
      <c r="C324" s="3"/>
      <c r="D324" s="3"/>
      <c r="E324" s="7"/>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spans="1:30" ht="14.4">
      <c r="A325" s="6"/>
      <c r="B325" s="3"/>
      <c r="C325" s="3"/>
      <c r="D325" s="3"/>
      <c r="E325" s="7"/>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spans="1:30" ht="14.4">
      <c r="A326" s="6"/>
      <c r="B326" s="3"/>
      <c r="C326" s="3"/>
      <c r="D326" s="3"/>
      <c r="E326" s="7"/>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spans="1:30" ht="14.4">
      <c r="A327" s="6"/>
      <c r="B327" s="3"/>
      <c r="C327" s="3"/>
      <c r="D327" s="3"/>
      <c r="E327" s="7"/>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spans="1:30" ht="14.4">
      <c r="A328" s="6"/>
      <c r="B328" s="3"/>
      <c r="C328" s="3"/>
      <c r="D328" s="3"/>
      <c r="E328" s="7"/>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spans="1:30" ht="14.4">
      <c r="A329" s="6"/>
      <c r="B329" s="3"/>
      <c r="C329" s="3"/>
      <c r="D329" s="3"/>
      <c r="E329" s="7"/>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spans="1:30" ht="14.4">
      <c r="A330" s="6"/>
      <c r="B330" s="3"/>
      <c r="C330" s="3"/>
      <c r="D330" s="3"/>
      <c r="E330" s="7"/>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spans="1:30" ht="14.4">
      <c r="A331" s="6"/>
      <c r="B331" s="3"/>
      <c r="C331" s="3"/>
      <c r="D331" s="3"/>
      <c r="E331" s="7"/>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spans="1:30" ht="14.4">
      <c r="A332" s="6"/>
      <c r="B332" s="3"/>
      <c r="C332" s="3"/>
      <c r="D332" s="3"/>
      <c r="E332" s="7"/>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spans="1:30" ht="14.4">
      <c r="A333" s="6"/>
      <c r="B333" s="3"/>
      <c r="C333" s="3"/>
      <c r="D333" s="3"/>
      <c r="E333" s="7"/>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spans="1:30" ht="14.4">
      <c r="A334" s="6"/>
      <c r="B334" s="3"/>
      <c r="C334" s="3"/>
      <c r="D334" s="3"/>
      <c r="E334" s="7"/>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spans="1:30" ht="14.4">
      <c r="A335" s="6"/>
      <c r="B335" s="3"/>
      <c r="C335" s="3"/>
      <c r="D335" s="3"/>
      <c r="E335" s="7"/>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spans="1:30" ht="14.4">
      <c r="A336" s="6"/>
      <c r="B336" s="3"/>
      <c r="C336" s="3"/>
      <c r="D336" s="3"/>
      <c r="E336" s="7"/>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spans="1:30" ht="14.4">
      <c r="A337" s="6"/>
      <c r="B337" s="3"/>
      <c r="C337" s="3"/>
      <c r="D337" s="3"/>
      <c r="E337" s="7"/>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spans="1:30" ht="14.4">
      <c r="A338" s="6"/>
      <c r="B338" s="3"/>
      <c r="C338" s="3"/>
      <c r="D338" s="3"/>
      <c r="E338" s="7"/>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spans="1:30" ht="14.4">
      <c r="A339" s="6"/>
      <c r="B339" s="3"/>
      <c r="C339" s="3"/>
      <c r="D339" s="3"/>
      <c r="E339" s="7"/>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spans="1:30" ht="14.4">
      <c r="A340" s="6"/>
      <c r="B340" s="3"/>
      <c r="C340" s="3"/>
      <c r="D340" s="3"/>
      <c r="E340" s="7"/>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spans="1:30" ht="14.4">
      <c r="A341" s="6"/>
      <c r="B341" s="3"/>
      <c r="C341" s="3"/>
      <c r="D341" s="3"/>
      <c r="E341" s="7"/>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spans="1:30" ht="14.4">
      <c r="A342" s="6"/>
      <c r="B342" s="3"/>
      <c r="C342" s="3"/>
      <c r="D342" s="3"/>
      <c r="E342" s="7"/>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spans="1:30" ht="14.4">
      <c r="A343" s="6"/>
      <c r="B343" s="3"/>
      <c r="C343" s="3"/>
      <c r="D343" s="3"/>
      <c r="E343" s="7"/>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spans="1:30" ht="14.4">
      <c r="A344" s="6"/>
      <c r="B344" s="3"/>
      <c r="C344" s="3"/>
      <c r="D344" s="3"/>
      <c r="E344" s="7"/>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spans="1:30" ht="14.4">
      <c r="A345" s="6"/>
      <c r="B345" s="3"/>
      <c r="C345" s="3"/>
      <c r="D345" s="3"/>
      <c r="E345" s="7"/>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spans="1:30" ht="14.4">
      <c r="A346" s="6"/>
      <c r="B346" s="3"/>
      <c r="C346" s="3"/>
      <c r="D346" s="3"/>
      <c r="E346" s="7"/>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spans="1:30" ht="14.4">
      <c r="A347" s="6"/>
      <c r="B347" s="3"/>
      <c r="C347" s="3"/>
      <c r="D347" s="3"/>
      <c r="E347" s="7"/>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spans="1:30" ht="14.4">
      <c r="A348" s="6"/>
      <c r="B348" s="3"/>
      <c r="C348" s="3"/>
      <c r="D348" s="3"/>
      <c r="E348" s="7"/>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spans="1:30" ht="14.4">
      <c r="A349" s="6"/>
      <c r="B349" s="3"/>
      <c r="C349" s="3"/>
      <c r="D349" s="3"/>
      <c r="E349" s="7"/>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spans="1:30" ht="14.4">
      <c r="A350" s="6"/>
      <c r="B350" s="3"/>
      <c r="C350" s="3"/>
      <c r="D350" s="3"/>
      <c r="E350" s="7"/>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spans="1:30" ht="14.4">
      <c r="A351" s="6"/>
      <c r="B351" s="3"/>
      <c r="C351" s="3"/>
      <c r="D351" s="3"/>
      <c r="E351" s="7"/>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spans="1:30" ht="14.4">
      <c r="A352" s="6"/>
      <c r="B352" s="3"/>
      <c r="C352" s="3"/>
      <c r="D352" s="3"/>
      <c r="E352" s="7"/>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spans="1:30" ht="14.4">
      <c r="A353" s="6"/>
      <c r="B353" s="3"/>
      <c r="C353" s="3"/>
      <c r="D353" s="3"/>
      <c r="E353" s="7"/>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spans="1:30" ht="14.4">
      <c r="A354" s="6"/>
      <c r="B354" s="3"/>
      <c r="C354" s="3"/>
      <c r="D354" s="3"/>
      <c r="E354" s="7"/>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spans="1:30" ht="14.4">
      <c r="A355" s="6"/>
      <c r="B355" s="3"/>
      <c r="C355" s="3"/>
      <c r="D355" s="3"/>
      <c r="E355" s="7"/>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spans="1:30" ht="14.4">
      <c r="A356" s="6"/>
      <c r="B356" s="3"/>
      <c r="C356" s="3"/>
      <c r="D356" s="3"/>
      <c r="E356" s="7"/>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spans="1:30" ht="14.4">
      <c r="A357" s="6"/>
      <c r="B357" s="3"/>
      <c r="C357" s="3"/>
      <c r="D357" s="3"/>
      <c r="E357" s="7"/>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spans="1:30" ht="14.4">
      <c r="A358" s="6"/>
      <c r="B358" s="3"/>
      <c r="C358" s="3"/>
      <c r="D358" s="3"/>
      <c r="E358" s="7"/>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spans="1:30" ht="14.4">
      <c r="A359" s="6"/>
      <c r="B359" s="3"/>
      <c r="C359" s="3"/>
      <c r="D359" s="3"/>
      <c r="E359" s="7"/>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spans="1:30" ht="14.4">
      <c r="A360" s="6"/>
      <c r="B360" s="3"/>
      <c r="C360" s="3"/>
      <c r="D360" s="3"/>
      <c r="E360" s="7"/>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spans="1:30" ht="14.4">
      <c r="A361" s="6"/>
      <c r="B361" s="3"/>
      <c r="C361" s="3"/>
      <c r="D361" s="3"/>
      <c r="E361" s="7"/>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spans="1:30" ht="14.4">
      <c r="A362" s="6"/>
      <c r="B362" s="3"/>
      <c r="C362" s="3"/>
      <c r="D362" s="3"/>
      <c r="E362" s="7"/>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spans="1:30" ht="14.4">
      <c r="A363" s="6"/>
      <c r="B363" s="3"/>
      <c r="C363" s="3"/>
      <c r="D363" s="3"/>
      <c r="E363" s="7"/>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spans="1:30" ht="14.4">
      <c r="A364" s="6"/>
      <c r="B364" s="3"/>
      <c r="C364" s="3"/>
      <c r="D364" s="3"/>
      <c r="E364" s="7"/>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spans="1:30" ht="14.4">
      <c r="A365" s="6"/>
      <c r="B365" s="3"/>
      <c r="C365" s="3"/>
      <c r="D365" s="3"/>
      <c r="E365" s="7"/>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spans="1:30" ht="14.4">
      <c r="A366" s="6"/>
      <c r="B366" s="3"/>
      <c r="C366" s="3"/>
      <c r="D366" s="3"/>
      <c r="E366" s="7"/>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spans="1:30" ht="14.4">
      <c r="A367" s="6"/>
      <c r="B367" s="3"/>
      <c r="C367" s="3"/>
      <c r="D367" s="3"/>
      <c r="E367" s="7"/>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spans="1:30" ht="14.4">
      <c r="A368" s="6"/>
      <c r="B368" s="3"/>
      <c r="C368" s="3"/>
      <c r="D368" s="3"/>
      <c r="E368" s="7"/>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spans="1:30" ht="14.4">
      <c r="A369" s="6"/>
      <c r="B369" s="3"/>
      <c r="C369" s="3"/>
      <c r="D369" s="3"/>
      <c r="E369" s="7"/>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spans="1:30" ht="14.4">
      <c r="A370" s="6"/>
      <c r="B370" s="3"/>
      <c r="C370" s="3"/>
      <c r="D370" s="3"/>
      <c r="E370" s="7"/>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spans="1:30" ht="14.4">
      <c r="A371" s="6"/>
      <c r="B371" s="3"/>
      <c r="C371" s="3"/>
      <c r="D371" s="3"/>
      <c r="E371" s="7"/>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spans="1:30" ht="14.4">
      <c r="A372" s="6"/>
      <c r="B372" s="3"/>
      <c r="C372" s="3"/>
      <c r="D372" s="3"/>
      <c r="E372" s="7"/>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spans="1:30" ht="14.4">
      <c r="A373" s="6"/>
      <c r="B373" s="3"/>
      <c r="C373" s="3"/>
      <c r="D373" s="3"/>
      <c r="E373" s="7"/>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spans="1:30" ht="14.4">
      <c r="A374" s="6"/>
      <c r="B374" s="3"/>
      <c r="C374" s="3"/>
      <c r="D374" s="3"/>
      <c r="E374" s="7"/>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spans="1:30" ht="14.4">
      <c r="A375" s="6"/>
      <c r="B375" s="3"/>
      <c r="C375" s="3"/>
      <c r="D375" s="3"/>
      <c r="E375" s="7"/>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spans="1:30" ht="14.4">
      <c r="A376" s="6"/>
      <c r="B376" s="3"/>
      <c r="C376" s="3"/>
      <c r="D376" s="3"/>
      <c r="E376" s="7"/>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spans="1:30" ht="14.4">
      <c r="A377" s="6"/>
      <c r="B377" s="3"/>
      <c r="C377" s="3"/>
      <c r="D377" s="3"/>
      <c r="E377" s="7"/>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spans="1:30" ht="14.4">
      <c r="A378" s="6"/>
      <c r="B378" s="3"/>
      <c r="C378" s="3"/>
      <c r="D378" s="3"/>
      <c r="E378" s="7"/>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spans="1:30" ht="14.4">
      <c r="A379" s="6"/>
      <c r="B379" s="3"/>
      <c r="C379" s="3"/>
      <c r="D379" s="3"/>
      <c r="E379" s="7"/>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spans="1:30" ht="14.4">
      <c r="A380" s="6"/>
      <c r="B380" s="3"/>
      <c r="C380" s="3"/>
      <c r="D380" s="3"/>
      <c r="E380" s="7"/>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spans="1:30" ht="14.4">
      <c r="A381" s="6"/>
      <c r="B381" s="3"/>
      <c r="C381" s="3"/>
      <c r="D381" s="3"/>
      <c r="E381" s="7"/>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spans="1:30" ht="14.4">
      <c r="A382" s="6"/>
      <c r="B382" s="3"/>
      <c r="C382" s="3"/>
      <c r="D382" s="3"/>
      <c r="E382" s="7"/>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spans="1:30" ht="14.4">
      <c r="A383" s="6"/>
      <c r="B383" s="3"/>
      <c r="C383" s="3"/>
      <c r="D383" s="3"/>
      <c r="E383" s="7"/>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spans="1:30" ht="14.4">
      <c r="A384" s="6"/>
      <c r="B384" s="3"/>
      <c r="C384" s="3"/>
      <c r="D384" s="3"/>
      <c r="E384" s="7"/>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spans="1:30" ht="14.4">
      <c r="A385" s="6"/>
      <c r="B385" s="3"/>
      <c r="C385" s="3"/>
      <c r="D385" s="3"/>
      <c r="E385" s="7"/>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spans="1:30" ht="14.4">
      <c r="A386" s="6"/>
      <c r="B386" s="3"/>
      <c r="C386" s="3"/>
      <c r="D386" s="3"/>
      <c r="E386" s="7"/>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spans="1:30" ht="14.4">
      <c r="A387" s="6"/>
      <c r="B387" s="3"/>
      <c r="C387" s="3"/>
      <c r="D387" s="3"/>
      <c r="E387" s="7"/>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spans="1:30" ht="14.4">
      <c r="A388" s="6"/>
      <c r="B388" s="3"/>
      <c r="C388" s="3"/>
      <c r="D388" s="3"/>
      <c r="E388" s="7"/>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spans="1:30" ht="14.4">
      <c r="A389" s="6"/>
      <c r="B389" s="3"/>
      <c r="C389" s="3"/>
      <c r="D389" s="3"/>
      <c r="E389" s="7"/>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spans="1:30" ht="14.4">
      <c r="A390" s="6"/>
      <c r="B390" s="3"/>
      <c r="C390" s="3"/>
      <c r="D390" s="3"/>
      <c r="E390" s="7"/>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spans="1:30" ht="14.4">
      <c r="A391" s="6"/>
      <c r="B391" s="3"/>
      <c r="C391" s="3"/>
      <c r="D391" s="3"/>
      <c r="E391" s="7"/>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spans="1:30" ht="14.4">
      <c r="A392" s="6"/>
      <c r="B392" s="3"/>
      <c r="C392" s="3"/>
      <c r="D392" s="3"/>
      <c r="E392" s="7"/>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spans="1:30" ht="14.4">
      <c r="A393" s="6"/>
      <c r="B393" s="3"/>
      <c r="C393" s="3"/>
      <c r="D393" s="3"/>
      <c r="E393" s="7"/>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spans="1:30" ht="14.4">
      <c r="A394" s="6"/>
      <c r="B394" s="3"/>
      <c r="C394" s="3"/>
      <c r="D394" s="3"/>
      <c r="E394" s="7"/>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spans="1:30" ht="14.4">
      <c r="A395" s="6"/>
      <c r="B395" s="3"/>
      <c r="C395" s="3"/>
      <c r="D395" s="3"/>
      <c r="E395" s="7"/>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spans="1:30" ht="14.4">
      <c r="A396" s="6"/>
      <c r="B396" s="3"/>
      <c r="C396" s="3"/>
      <c r="D396" s="3"/>
      <c r="E396" s="7"/>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spans="1:30" ht="14.4">
      <c r="A397" s="6"/>
      <c r="B397" s="3"/>
      <c r="C397" s="3"/>
      <c r="D397" s="3"/>
      <c r="E397" s="7"/>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spans="1:30" ht="14.4">
      <c r="A398" s="6"/>
      <c r="B398" s="3"/>
      <c r="C398" s="3"/>
      <c r="D398" s="3"/>
      <c r="E398" s="7"/>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spans="1:30" ht="14.4">
      <c r="A399" s="6"/>
      <c r="B399" s="3"/>
      <c r="C399" s="3"/>
      <c r="D399" s="3"/>
      <c r="E399" s="7"/>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spans="1:30" ht="14.4">
      <c r="A400" s="6"/>
      <c r="B400" s="3"/>
      <c r="C400" s="3"/>
      <c r="D400" s="3"/>
      <c r="E400" s="7"/>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spans="1:30" ht="14.4">
      <c r="A401" s="6"/>
      <c r="B401" s="3"/>
      <c r="C401" s="3"/>
      <c r="D401" s="3"/>
      <c r="E401" s="7"/>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spans="1:30" ht="14.4">
      <c r="A402" s="6"/>
      <c r="B402" s="3"/>
      <c r="C402" s="3"/>
      <c r="D402" s="3"/>
      <c r="E402" s="7"/>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spans="1:30" ht="14.4">
      <c r="A403" s="6"/>
      <c r="B403" s="3"/>
      <c r="C403" s="3"/>
      <c r="D403" s="3"/>
      <c r="E403" s="7"/>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spans="1:30" ht="14.4">
      <c r="A404" s="6"/>
      <c r="B404" s="3"/>
      <c r="C404" s="3"/>
      <c r="D404" s="3"/>
      <c r="E404" s="7"/>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spans="1:30" ht="14.4">
      <c r="A405" s="6"/>
      <c r="B405" s="3"/>
      <c r="C405" s="3"/>
      <c r="D405" s="3"/>
      <c r="E405" s="7"/>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spans="1:30" ht="14.4">
      <c r="A406" s="6"/>
      <c r="B406" s="3"/>
      <c r="C406" s="3"/>
      <c r="D406" s="3"/>
      <c r="E406" s="7"/>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spans="1:30" ht="14.4">
      <c r="A407" s="6"/>
      <c r="B407" s="3"/>
      <c r="C407" s="3"/>
      <c r="D407" s="3"/>
      <c r="E407" s="7"/>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spans="1:30" ht="14.4">
      <c r="A408" s="6"/>
      <c r="B408" s="3"/>
      <c r="C408" s="3"/>
      <c r="D408" s="3"/>
      <c r="E408" s="7"/>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spans="1:30" ht="14.4">
      <c r="A409" s="6"/>
      <c r="B409" s="3"/>
      <c r="C409" s="3"/>
      <c r="D409" s="3"/>
      <c r="E409" s="7"/>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spans="1:30" ht="14.4">
      <c r="A410" s="6"/>
      <c r="B410" s="3"/>
      <c r="C410" s="3"/>
      <c r="D410" s="3"/>
      <c r="E410" s="7"/>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spans="1:30" ht="14.4">
      <c r="A411" s="6"/>
      <c r="B411" s="3"/>
      <c r="C411" s="3"/>
      <c r="D411" s="3"/>
      <c r="E411" s="7"/>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spans="1:30" ht="14.4">
      <c r="A412" s="6"/>
      <c r="B412" s="3"/>
      <c r="C412" s="3"/>
      <c r="D412" s="3"/>
      <c r="E412" s="7"/>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spans="1:30" ht="14.4">
      <c r="A413" s="6"/>
      <c r="B413" s="3"/>
      <c r="C413" s="3"/>
      <c r="D413" s="3"/>
      <c r="E413" s="7"/>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spans="1:30" ht="14.4">
      <c r="A414" s="6"/>
      <c r="B414" s="3"/>
      <c r="C414" s="3"/>
      <c r="D414" s="3"/>
      <c r="E414" s="7"/>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spans="1:30" ht="14.4">
      <c r="A415" s="6"/>
      <c r="B415" s="3"/>
      <c r="C415" s="3"/>
      <c r="D415" s="3"/>
      <c r="E415" s="7"/>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spans="1:30" ht="14.4">
      <c r="A416" s="6"/>
      <c r="B416" s="3"/>
      <c r="C416" s="3"/>
      <c r="D416" s="3"/>
      <c r="E416" s="7"/>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spans="1:30" ht="14.4">
      <c r="A417" s="6"/>
      <c r="B417" s="3"/>
      <c r="C417" s="3"/>
      <c r="D417" s="3"/>
      <c r="E417" s="7"/>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spans="1:30" ht="14.4">
      <c r="A418" s="6"/>
      <c r="B418" s="3"/>
      <c r="C418" s="3"/>
      <c r="D418" s="3"/>
      <c r="E418" s="7"/>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spans="1:30" ht="14.4">
      <c r="A419" s="6"/>
      <c r="B419" s="3"/>
      <c r="C419" s="3"/>
      <c r="D419" s="3"/>
      <c r="E419" s="7"/>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spans="1:30" ht="14.4">
      <c r="A420" s="6"/>
      <c r="B420" s="3"/>
      <c r="C420" s="3"/>
      <c r="D420" s="3"/>
      <c r="E420" s="7"/>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spans="1:30" ht="14.4">
      <c r="A421" s="6"/>
      <c r="B421" s="3"/>
      <c r="C421" s="3"/>
      <c r="D421" s="3"/>
      <c r="E421" s="7"/>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spans="1:30" ht="14.4">
      <c r="A422" s="6"/>
      <c r="B422" s="3"/>
      <c r="C422" s="3"/>
      <c r="D422" s="3"/>
      <c r="E422" s="7"/>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spans="1:30" ht="14.4">
      <c r="A423" s="6"/>
      <c r="B423" s="3"/>
      <c r="C423" s="3"/>
      <c r="D423" s="3"/>
      <c r="E423" s="7"/>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spans="1:30" ht="14.4">
      <c r="A424" s="6"/>
      <c r="B424" s="3"/>
      <c r="C424" s="3"/>
      <c r="D424" s="3"/>
      <c r="E424" s="7"/>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spans="1:30" ht="14.4">
      <c r="A425" s="6"/>
      <c r="B425" s="3"/>
      <c r="C425" s="3"/>
      <c r="D425" s="3"/>
      <c r="E425" s="7"/>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spans="1:30" ht="14.4">
      <c r="A426" s="6"/>
      <c r="B426" s="3"/>
      <c r="C426" s="3"/>
      <c r="D426" s="3"/>
      <c r="E426" s="7"/>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spans="1:30" ht="14.4">
      <c r="A427" s="6"/>
      <c r="B427" s="3"/>
      <c r="C427" s="3"/>
      <c r="D427" s="3"/>
      <c r="E427" s="7"/>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spans="1:30" ht="14.4">
      <c r="A428" s="6"/>
      <c r="B428" s="3"/>
      <c r="C428" s="3"/>
      <c r="D428" s="3"/>
      <c r="E428" s="7"/>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spans="1:30" ht="14.4">
      <c r="A429" s="6"/>
      <c r="B429" s="3"/>
      <c r="C429" s="3"/>
      <c r="D429" s="3"/>
      <c r="E429" s="7"/>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spans="1:30" ht="14.4">
      <c r="A430" s="6"/>
      <c r="B430" s="3"/>
      <c r="C430" s="3"/>
      <c r="D430" s="3"/>
      <c r="E430" s="7"/>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spans="1:30" ht="14.4">
      <c r="A431" s="6"/>
      <c r="B431" s="3"/>
      <c r="C431" s="3"/>
      <c r="D431" s="3"/>
      <c r="E431" s="7"/>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spans="1:30" ht="14.4">
      <c r="A432" s="6"/>
      <c r="B432" s="3"/>
      <c r="C432" s="3"/>
      <c r="D432" s="3"/>
      <c r="E432" s="7"/>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spans="1:30" ht="14.4">
      <c r="A433" s="6"/>
      <c r="B433" s="3"/>
      <c r="C433" s="3"/>
      <c r="D433" s="3"/>
      <c r="E433" s="7"/>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spans="1:30" ht="14.4">
      <c r="A434" s="6"/>
      <c r="B434" s="3"/>
      <c r="C434" s="3"/>
      <c r="D434" s="3"/>
      <c r="E434" s="7"/>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spans="1:30" ht="14.4">
      <c r="A435" s="6"/>
      <c r="B435" s="3"/>
      <c r="C435" s="3"/>
      <c r="D435" s="3"/>
      <c r="E435" s="7"/>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spans="1:30" ht="14.4">
      <c r="A436" s="6"/>
      <c r="B436" s="3"/>
      <c r="C436" s="3"/>
      <c r="D436" s="3"/>
      <c r="E436" s="7"/>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spans="1:30" ht="14.4">
      <c r="A437" s="6"/>
      <c r="B437" s="3"/>
      <c r="C437" s="3"/>
      <c r="D437" s="3"/>
      <c r="E437" s="7"/>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spans="1:30" ht="14.4">
      <c r="A438" s="6"/>
      <c r="B438" s="3"/>
      <c r="C438" s="3"/>
      <c r="D438" s="3"/>
      <c r="E438" s="7"/>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spans="1:30" ht="14.4">
      <c r="A439" s="6"/>
      <c r="B439" s="3"/>
      <c r="C439" s="3"/>
      <c r="D439" s="3"/>
      <c r="E439" s="7"/>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spans="1:30" ht="14.4">
      <c r="A440" s="6"/>
      <c r="B440" s="3"/>
      <c r="C440" s="3"/>
      <c r="D440" s="3"/>
      <c r="E440" s="7"/>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spans="1:30" ht="14.4">
      <c r="A441" s="6"/>
      <c r="B441" s="3"/>
      <c r="C441" s="3"/>
      <c r="D441" s="3"/>
      <c r="E441" s="7"/>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spans="1:30" ht="14.4">
      <c r="A442" s="6"/>
      <c r="B442" s="3"/>
      <c r="C442" s="3"/>
      <c r="D442" s="3"/>
      <c r="E442" s="7"/>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spans="1:30" ht="14.4">
      <c r="A443" s="6"/>
      <c r="B443" s="3"/>
      <c r="C443" s="3"/>
      <c r="D443" s="3"/>
      <c r="E443" s="7"/>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spans="1:30" ht="14.4">
      <c r="A444" s="6"/>
      <c r="B444" s="3"/>
      <c r="C444" s="3"/>
      <c r="D444" s="3"/>
      <c r="E444" s="7"/>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spans="1:30" ht="14.4">
      <c r="A445" s="6"/>
      <c r="B445" s="3"/>
      <c r="C445" s="3"/>
      <c r="D445" s="3"/>
      <c r="E445" s="7"/>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spans="1:30" ht="14.4">
      <c r="A446" s="6"/>
      <c r="B446" s="3"/>
      <c r="C446" s="3"/>
      <c r="D446" s="3"/>
      <c r="E446" s="7"/>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spans="1:30" ht="14.4">
      <c r="A447" s="6"/>
      <c r="B447" s="3"/>
      <c r="C447" s="3"/>
      <c r="D447" s="3"/>
      <c r="E447" s="7"/>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spans="1:30" ht="14.4">
      <c r="A448" s="6"/>
      <c r="B448" s="3"/>
      <c r="C448" s="3"/>
      <c r="D448" s="3"/>
      <c r="E448" s="7"/>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spans="1:30" ht="14.4">
      <c r="A449" s="6"/>
      <c r="B449" s="3"/>
      <c r="C449" s="3"/>
      <c r="D449" s="3"/>
      <c r="E449" s="7"/>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spans="1:30" ht="14.4">
      <c r="A450" s="6"/>
      <c r="B450" s="3"/>
      <c r="C450" s="3"/>
      <c r="D450" s="3"/>
      <c r="E450" s="7"/>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spans="1:30" ht="14.4">
      <c r="A451" s="6"/>
      <c r="B451" s="3"/>
      <c r="C451" s="3"/>
      <c r="D451" s="3"/>
      <c r="E451" s="7"/>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spans="1:30" ht="14.4">
      <c r="A452" s="6"/>
      <c r="B452" s="3"/>
      <c r="C452" s="3"/>
      <c r="D452" s="3"/>
      <c r="E452" s="7"/>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spans="1:30" ht="14.4">
      <c r="A453" s="6"/>
      <c r="B453" s="3"/>
      <c r="C453" s="3"/>
      <c r="D453" s="3"/>
      <c r="E453" s="7"/>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spans="1:30" ht="14.4">
      <c r="A454" s="6"/>
      <c r="B454" s="3"/>
      <c r="C454" s="3"/>
      <c r="D454" s="3"/>
      <c r="E454" s="7"/>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spans="1:30" ht="14.4">
      <c r="A455" s="6"/>
      <c r="B455" s="3"/>
      <c r="C455" s="3"/>
      <c r="D455" s="3"/>
      <c r="E455" s="7"/>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spans="1:30" ht="14.4">
      <c r="A456" s="6"/>
      <c r="B456" s="3"/>
      <c r="C456" s="3"/>
      <c r="D456" s="3"/>
      <c r="E456" s="7"/>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spans="1:30" ht="14.4">
      <c r="A457" s="6"/>
      <c r="B457" s="3"/>
      <c r="C457" s="3"/>
      <c r="D457" s="3"/>
      <c r="E457" s="7"/>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spans="1:30" ht="14.4">
      <c r="A458" s="6"/>
      <c r="B458" s="3"/>
      <c r="C458" s="3"/>
      <c r="D458" s="3"/>
      <c r="E458" s="7"/>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spans="1:30" ht="14.4">
      <c r="A459" s="6"/>
      <c r="B459" s="3"/>
      <c r="C459" s="3"/>
      <c r="D459" s="3"/>
      <c r="E459" s="7"/>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spans="1:30" ht="14.4">
      <c r="A460" s="6"/>
      <c r="B460" s="3"/>
      <c r="C460" s="3"/>
      <c r="D460" s="3"/>
      <c r="E460" s="7"/>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spans="1:30" ht="14.4">
      <c r="A461" s="6"/>
      <c r="B461" s="3"/>
      <c r="C461" s="3"/>
      <c r="D461" s="3"/>
      <c r="E461" s="7"/>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spans="1:30" ht="14.4">
      <c r="A462" s="6"/>
      <c r="B462" s="3"/>
      <c r="C462" s="3"/>
      <c r="D462" s="3"/>
      <c r="E462" s="7"/>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spans="1:30" ht="14.4">
      <c r="A463" s="6"/>
      <c r="B463" s="3"/>
      <c r="C463" s="3"/>
      <c r="D463" s="3"/>
      <c r="E463" s="7"/>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spans="1:30" ht="14.4">
      <c r="A464" s="6"/>
      <c r="B464" s="3"/>
      <c r="C464" s="3"/>
      <c r="D464" s="3"/>
      <c r="E464" s="7"/>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spans="1:30" ht="14.4">
      <c r="A465" s="6"/>
      <c r="B465" s="3"/>
      <c r="C465" s="3"/>
      <c r="D465" s="3"/>
      <c r="E465" s="7"/>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spans="1:30" ht="14.4">
      <c r="A466" s="6"/>
      <c r="B466" s="3"/>
      <c r="C466" s="3"/>
      <c r="D466" s="3"/>
      <c r="E466" s="7"/>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spans="1:30" ht="14.4">
      <c r="A467" s="6"/>
      <c r="B467" s="3"/>
      <c r="C467" s="3"/>
      <c r="D467" s="3"/>
      <c r="E467" s="7"/>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spans="1:30" ht="14.4">
      <c r="A468" s="6"/>
      <c r="B468" s="3"/>
      <c r="C468" s="3"/>
      <c r="D468" s="3"/>
      <c r="E468" s="7"/>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spans="1:30" ht="14.4">
      <c r="A469" s="6"/>
      <c r="B469" s="3"/>
      <c r="C469" s="3"/>
      <c r="D469" s="3"/>
      <c r="E469" s="7"/>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spans="1:30" ht="14.4">
      <c r="A470" s="6"/>
      <c r="B470" s="3"/>
      <c r="C470" s="3"/>
      <c r="D470" s="3"/>
      <c r="E470" s="7"/>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spans="1:30" ht="14.4">
      <c r="A471" s="6"/>
      <c r="B471" s="3"/>
      <c r="C471" s="3"/>
      <c r="D471" s="3"/>
      <c r="E471" s="7"/>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spans="1:30" ht="14.4">
      <c r="A472" s="6"/>
      <c r="B472" s="3"/>
      <c r="C472" s="3"/>
      <c r="D472" s="3"/>
      <c r="E472" s="7"/>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spans="1:30" ht="14.4">
      <c r="A473" s="6"/>
      <c r="B473" s="3"/>
      <c r="C473" s="3"/>
      <c r="D473" s="3"/>
      <c r="E473" s="7"/>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spans="1:30" ht="14.4">
      <c r="A474" s="6"/>
      <c r="B474" s="3"/>
      <c r="C474" s="3"/>
      <c r="D474" s="3"/>
      <c r="E474" s="7"/>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spans="1:30" ht="14.4">
      <c r="A475" s="6"/>
      <c r="B475" s="3"/>
      <c r="C475" s="3"/>
      <c r="D475" s="3"/>
      <c r="E475" s="7"/>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spans="1:30" ht="14.4">
      <c r="A476" s="6"/>
      <c r="B476" s="3"/>
      <c r="C476" s="3"/>
      <c r="D476" s="3"/>
      <c r="E476" s="7"/>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spans="1:30" ht="14.4">
      <c r="A477" s="6"/>
      <c r="B477" s="3"/>
      <c r="C477" s="3"/>
      <c r="D477" s="3"/>
      <c r="E477" s="7"/>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spans="1:30" ht="14.4">
      <c r="A478" s="6"/>
      <c r="B478" s="3"/>
      <c r="C478" s="3"/>
      <c r="D478" s="3"/>
      <c r="E478" s="7"/>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spans="1:30" ht="14.4">
      <c r="A479" s="6"/>
      <c r="B479" s="3"/>
      <c r="C479" s="3"/>
      <c r="D479" s="3"/>
      <c r="E479" s="7"/>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spans="1:30" ht="14.4">
      <c r="A480" s="6"/>
      <c r="B480" s="3"/>
      <c r="C480" s="3"/>
      <c r="D480" s="3"/>
      <c r="E480" s="7"/>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spans="1:30" ht="14.4">
      <c r="A481" s="6"/>
      <c r="B481" s="3"/>
      <c r="C481" s="3"/>
      <c r="D481" s="3"/>
      <c r="E481" s="7"/>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spans="1:30" ht="14.4">
      <c r="A482" s="6"/>
      <c r="B482" s="3"/>
      <c r="C482" s="3"/>
      <c r="D482" s="3"/>
      <c r="E482" s="7"/>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spans="1:30" ht="14.4">
      <c r="A483" s="6"/>
      <c r="B483" s="3"/>
      <c r="C483" s="3"/>
      <c r="D483" s="3"/>
      <c r="E483" s="7"/>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spans="1:30" ht="14.4">
      <c r="A484" s="6"/>
      <c r="B484" s="3"/>
      <c r="C484" s="3"/>
      <c r="D484" s="3"/>
      <c r="E484" s="7"/>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spans="1:30" ht="14.4">
      <c r="A485" s="6"/>
      <c r="B485" s="3"/>
      <c r="C485" s="3"/>
      <c r="D485" s="3"/>
      <c r="E485" s="7"/>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spans="1:30" ht="14.4">
      <c r="A486" s="6"/>
      <c r="B486" s="3"/>
      <c r="C486" s="3"/>
      <c r="D486" s="3"/>
      <c r="E486" s="7"/>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spans="1:30" ht="14.4">
      <c r="A487" s="6"/>
      <c r="B487" s="3"/>
      <c r="C487" s="3"/>
      <c r="D487" s="3"/>
      <c r="E487" s="7"/>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spans="1:30" ht="14.4">
      <c r="A488" s="6"/>
      <c r="B488" s="3"/>
      <c r="C488" s="3"/>
      <c r="D488" s="3"/>
      <c r="E488" s="7"/>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spans="1:30" ht="14.4">
      <c r="A489" s="6"/>
      <c r="B489" s="3"/>
      <c r="C489" s="3"/>
      <c r="D489" s="3"/>
      <c r="E489" s="7"/>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spans="1:30" ht="14.4">
      <c r="A490" s="6"/>
      <c r="B490" s="3"/>
      <c r="C490" s="3"/>
      <c r="D490" s="3"/>
      <c r="E490" s="7"/>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spans="1:30" ht="14.4">
      <c r="A491" s="6"/>
      <c r="B491" s="3"/>
      <c r="C491" s="3"/>
      <c r="D491" s="3"/>
      <c r="E491" s="7"/>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spans="1:30" ht="14.4">
      <c r="A492" s="6"/>
      <c r="B492" s="3"/>
      <c r="C492" s="3"/>
      <c r="D492" s="3"/>
      <c r="E492" s="7"/>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spans="1:30" ht="14.4">
      <c r="A493" s="6"/>
      <c r="B493" s="3"/>
      <c r="C493" s="3"/>
      <c r="D493" s="3"/>
      <c r="E493" s="7"/>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spans="1:30" ht="14.4">
      <c r="A494" s="6"/>
      <c r="B494" s="3"/>
      <c r="C494" s="3"/>
      <c r="D494" s="3"/>
      <c r="E494" s="7"/>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spans="1:30" ht="14.4">
      <c r="A495" s="6"/>
      <c r="B495" s="3"/>
      <c r="C495" s="3"/>
      <c r="D495" s="3"/>
      <c r="E495" s="7"/>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spans="1:30" ht="14.4">
      <c r="A496" s="6"/>
      <c r="B496" s="3"/>
      <c r="C496" s="3"/>
      <c r="D496" s="3"/>
      <c r="E496" s="7"/>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spans="1:30" ht="14.4">
      <c r="A497" s="6"/>
      <c r="B497" s="3"/>
      <c r="C497" s="3"/>
      <c r="D497" s="3"/>
      <c r="E497" s="7"/>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spans="1:30" ht="14.4">
      <c r="A498" s="6"/>
      <c r="B498" s="3"/>
      <c r="C498" s="3"/>
      <c r="D498" s="3"/>
      <c r="E498" s="7"/>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spans="1:30" ht="14.4">
      <c r="A499" s="6"/>
      <c r="B499" s="3"/>
      <c r="C499" s="3"/>
      <c r="D499" s="3"/>
      <c r="E499" s="7"/>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spans="1:30" ht="14.4">
      <c r="A500" s="6"/>
      <c r="B500" s="3"/>
      <c r="C500" s="3"/>
      <c r="D500" s="3"/>
      <c r="E500" s="7"/>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spans="1:30" ht="14.4">
      <c r="A501" s="6"/>
      <c r="B501" s="3"/>
      <c r="C501" s="3"/>
      <c r="D501" s="3"/>
      <c r="E501" s="7"/>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spans="1:30" ht="14.4">
      <c r="A502" s="6"/>
      <c r="B502" s="3"/>
      <c r="C502" s="3"/>
      <c r="D502" s="3"/>
      <c r="E502" s="7"/>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spans="1:30" ht="14.4">
      <c r="A503" s="6"/>
      <c r="B503" s="3"/>
      <c r="C503" s="3"/>
      <c r="D503" s="3"/>
      <c r="E503" s="7"/>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spans="1:30" ht="14.4">
      <c r="A504" s="6"/>
      <c r="B504" s="3"/>
      <c r="C504" s="3"/>
      <c r="D504" s="3"/>
      <c r="E504" s="7"/>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spans="1:30" ht="14.4">
      <c r="A505" s="6"/>
      <c r="B505" s="3"/>
      <c r="C505" s="3"/>
      <c r="D505" s="3"/>
      <c r="E505" s="7"/>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spans="1:30" ht="14.4">
      <c r="A506" s="6"/>
      <c r="B506" s="3"/>
      <c r="C506" s="3"/>
      <c r="D506" s="3"/>
      <c r="E506" s="7"/>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spans="1:30" ht="14.4">
      <c r="A507" s="6"/>
      <c r="B507" s="3"/>
      <c r="C507" s="3"/>
      <c r="D507" s="3"/>
      <c r="E507" s="7"/>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spans="1:30" ht="14.4">
      <c r="A508" s="6"/>
      <c r="B508" s="3"/>
      <c r="C508" s="3"/>
      <c r="D508" s="3"/>
      <c r="E508" s="7"/>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spans="1:30" ht="14.4">
      <c r="A509" s="6"/>
      <c r="B509" s="3"/>
      <c r="C509" s="3"/>
      <c r="D509" s="3"/>
      <c r="E509" s="7"/>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spans="1:30" ht="14.4">
      <c r="A510" s="6"/>
      <c r="B510" s="3"/>
      <c r="C510" s="3"/>
      <c r="D510" s="3"/>
      <c r="E510" s="7"/>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spans="1:30" ht="14.4">
      <c r="A511" s="6"/>
      <c r="B511" s="3"/>
      <c r="C511" s="3"/>
      <c r="D511" s="3"/>
      <c r="E511" s="7"/>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spans="1:30" ht="14.4">
      <c r="A512" s="6"/>
      <c r="B512" s="3"/>
      <c r="C512" s="3"/>
      <c r="D512" s="3"/>
      <c r="E512" s="7"/>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spans="1:30" ht="14.4">
      <c r="A513" s="6"/>
      <c r="B513" s="3"/>
      <c r="C513" s="3"/>
      <c r="D513" s="3"/>
      <c r="E513" s="7"/>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spans="1:30" ht="14.4">
      <c r="A514" s="6"/>
      <c r="B514" s="3"/>
      <c r="C514" s="3"/>
      <c r="D514" s="3"/>
      <c r="E514" s="7"/>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spans="1:30" ht="14.4">
      <c r="A515" s="6"/>
      <c r="B515" s="3"/>
      <c r="C515" s="3"/>
      <c r="D515" s="3"/>
      <c r="E515" s="7"/>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spans="1:30" ht="14.4">
      <c r="A516" s="6"/>
      <c r="B516" s="3"/>
      <c r="C516" s="3"/>
      <c r="D516" s="3"/>
      <c r="E516" s="7"/>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spans="1:30" ht="14.4">
      <c r="A517" s="6"/>
      <c r="B517" s="3"/>
      <c r="C517" s="3"/>
      <c r="D517" s="3"/>
      <c r="E517" s="7"/>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spans="1:30" ht="14.4">
      <c r="A518" s="6"/>
      <c r="B518" s="3"/>
      <c r="C518" s="3"/>
      <c r="D518" s="3"/>
      <c r="E518" s="7"/>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spans="1:30" ht="14.4">
      <c r="A519" s="6"/>
      <c r="B519" s="3"/>
      <c r="C519" s="3"/>
      <c r="D519" s="3"/>
      <c r="E519" s="7"/>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spans="1:30" ht="14.4">
      <c r="A520" s="6"/>
      <c r="B520" s="3"/>
      <c r="C520" s="3"/>
      <c r="D520" s="3"/>
      <c r="E520" s="7"/>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spans="1:30" ht="14.4">
      <c r="A521" s="6"/>
      <c r="B521" s="3"/>
      <c r="C521" s="3"/>
      <c r="D521" s="3"/>
      <c r="E521" s="7"/>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spans="1:30" ht="14.4">
      <c r="A522" s="6"/>
      <c r="B522" s="3"/>
      <c r="C522" s="3"/>
      <c r="D522" s="3"/>
      <c r="E522" s="7"/>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spans="1:30" ht="14.4">
      <c r="A523" s="6"/>
      <c r="B523" s="3"/>
      <c r="C523" s="3"/>
      <c r="D523" s="3"/>
      <c r="E523" s="7"/>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spans="1:30" ht="14.4">
      <c r="A524" s="6"/>
      <c r="B524" s="3"/>
      <c r="C524" s="3"/>
      <c r="D524" s="3"/>
      <c r="E524" s="7"/>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spans="1:30" ht="14.4">
      <c r="A525" s="6"/>
      <c r="B525" s="3"/>
      <c r="C525" s="3"/>
      <c r="D525" s="3"/>
      <c r="E525" s="7"/>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spans="1:30" ht="14.4">
      <c r="A526" s="6"/>
      <c r="B526" s="3"/>
      <c r="C526" s="3"/>
      <c r="D526" s="3"/>
      <c r="E526" s="7"/>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spans="1:30" ht="14.4">
      <c r="A527" s="6"/>
      <c r="B527" s="3"/>
      <c r="C527" s="3"/>
      <c r="D527" s="3"/>
      <c r="E527" s="7"/>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spans="1:30" ht="14.4">
      <c r="A528" s="6"/>
      <c r="B528" s="3"/>
      <c r="C528" s="3"/>
      <c r="D528" s="3"/>
      <c r="E528" s="7"/>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spans="1:30" ht="14.4">
      <c r="A529" s="6"/>
      <c r="B529" s="3"/>
      <c r="C529" s="3"/>
      <c r="D529" s="3"/>
      <c r="E529" s="7"/>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spans="1:30" ht="14.4">
      <c r="A530" s="6"/>
      <c r="B530" s="3"/>
      <c r="C530" s="3"/>
      <c r="D530" s="3"/>
      <c r="E530" s="7"/>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spans="1:30" ht="14.4">
      <c r="A531" s="6"/>
      <c r="B531" s="3"/>
      <c r="C531" s="3"/>
      <c r="D531" s="3"/>
      <c r="E531" s="7"/>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spans="1:30" ht="14.4">
      <c r="A532" s="6"/>
      <c r="B532" s="3"/>
      <c r="C532" s="3"/>
      <c r="D532" s="3"/>
      <c r="E532" s="7"/>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spans="1:30" ht="14.4">
      <c r="A533" s="6"/>
      <c r="B533" s="3"/>
      <c r="C533" s="3"/>
      <c r="D533" s="3"/>
      <c r="E533" s="7"/>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spans="1:30" ht="14.4">
      <c r="A534" s="6"/>
      <c r="B534" s="3"/>
      <c r="C534" s="3"/>
      <c r="D534" s="3"/>
      <c r="E534" s="7"/>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spans="1:30" ht="14.4">
      <c r="A535" s="6"/>
      <c r="B535" s="3"/>
      <c r="C535" s="3"/>
      <c r="D535" s="3"/>
      <c r="E535" s="7"/>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spans="1:30" ht="14.4">
      <c r="A536" s="6"/>
      <c r="B536" s="3"/>
      <c r="C536" s="3"/>
      <c r="D536" s="3"/>
      <c r="E536" s="7"/>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spans="1:30" ht="14.4">
      <c r="A537" s="6"/>
      <c r="B537" s="3"/>
      <c r="C537" s="3"/>
      <c r="D537" s="3"/>
      <c r="E537" s="7"/>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spans="1:30" ht="14.4">
      <c r="A538" s="6"/>
      <c r="B538" s="3"/>
      <c r="C538" s="3"/>
      <c r="D538" s="3"/>
      <c r="E538" s="7"/>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spans="1:30" ht="14.4">
      <c r="A539" s="6"/>
      <c r="B539" s="3"/>
      <c r="C539" s="3"/>
      <c r="D539" s="3"/>
      <c r="E539" s="7"/>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spans="1:30" ht="14.4">
      <c r="A540" s="6"/>
      <c r="B540" s="3"/>
      <c r="C540" s="3"/>
      <c r="D540" s="3"/>
      <c r="E540" s="7"/>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spans="1:30" ht="14.4">
      <c r="A541" s="6"/>
      <c r="B541" s="3"/>
      <c r="C541" s="3"/>
      <c r="D541" s="3"/>
      <c r="E541" s="7"/>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spans="1:30" ht="14.4">
      <c r="A542" s="6"/>
      <c r="B542" s="3"/>
      <c r="C542" s="3"/>
      <c r="D542" s="3"/>
      <c r="E542" s="7"/>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spans="1:30" ht="14.4">
      <c r="A543" s="6"/>
      <c r="B543" s="3"/>
      <c r="C543" s="3"/>
      <c r="D543" s="3"/>
      <c r="E543" s="7"/>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spans="1:30" ht="14.4">
      <c r="A544" s="6"/>
      <c r="B544" s="3"/>
      <c r="C544" s="3"/>
      <c r="D544" s="3"/>
      <c r="E544" s="7"/>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spans="1:30" ht="14.4">
      <c r="A545" s="6"/>
      <c r="B545" s="3"/>
      <c r="C545" s="3"/>
      <c r="D545" s="3"/>
      <c r="E545" s="7"/>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spans="1:30" ht="14.4">
      <c r="A546" s="6"/>
      <c r="B546" s="3"/>
      <c r="C546" s="3"/>
      <c r="D546" s="3"/>
      <c r="E546" s="7"/>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spans="1:30" ht="14.4">
      <c r="A547" s="6"/>
      <c r="B547" s="3"/>
      <c r="C547" s="3"/>
      <c r="D547" s="3"/>
      <c r="E547" s="7"/>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spans="1:30" ht="14.4">
      <c r="A548" s="6"/>
      <c r="B548" s="3"/>
      <c r="C548" s="3"/>
      <c r="D548" s="3"/>
      <c r="E548" s="7"/>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spans="1:30" ht="14.4">
      <c r="A549" s="6"/>
      <c r="B549" s="3"/>
      <c r="C549" s="3"/>
      <c r="D549" s="3"/>
      <c r="E549" s="7"/>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spans="1:30" ht="14.4">
      <c r="A550" s="6"/>
      <c r="B550" s="3"/>
      <c r="C550" s="3"/>
      <c r="D550" s="3"/>
      <c r="E550" s="7"/>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spans="1:30" ht="14.4">
      <c r="A551" s="6"/>
      <c r="B551" s="3"/>
      <c r="C551" s="3"/>
      <c r="D551" s="3"/>
      <c r="E551" s="7"/>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spans="1:30" ht="14.4">
      <c r="A552" s="6"/>
      <c r="B552" s="3"/>
      <c r="C552" s="3"/>
      <c r="D552" s="3"/>
      <c r="E552" s="7"/>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spans="1:30" ht="14.4">
      <c r="A553" s="6"/>
      <c r="B553" s="3"/>
      <c r="C553" s="3"/>
      <c r="D553" s="3"/>
      <c r="E553" s="7"/>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spans="1:30" ht="14.4">
      <c r="A554" s="6"/>
      <c r="B554" s="3"/>
      <c r="C554" s="3"/>
      <c r="D554" s="3"/>
      <c r="E554" s="7"/>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spans="1:30" ht="14.4">
      <c r="A555" s="6"/>
      <c r="B555" s="3"/>
      <c r="C555" s="3"/>
      <c r="D555" s="3"/>
      <c r="E555" s="7"/>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spans="1:30" ht="14.4">
      <c r="A556" s="6"/>
      <c r="B556" s="3"/>
      <c r="C556" s="3"/>
      <c r="D556" s="3"/>
      <c r="E556" s="7"/>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spans="1:30" ht="14.4">
      <c r="A557" s="6"/>
      <c r="B557" s="3"/>
      <c r="C557" s="3"/>
      <c r="D557" s="3"/>
      <c r="E557" s="7"/>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spans="1:30" ht="14.4">
      <c r="A558" s="6"/>
      <c r="B558" s="3"/>
      <c r="C558" s="3"/>
      <c r="D558" s="3"/>
      <c r="E558" s="7"/>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spans="1:30" ht="14.4">
      <c r="A559" s="6"/>
      <c r="B559" s="3"/>
      <c r="C559" s="3"/>
      <c r="D559" s="3"/>
      <c r="E559" s="7"/>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spans="1:30" ht="14.4">
      <c r="A560" s="6"/>
      <c r="B560" s="3"/>
      <c r="C560" s="3"/>
      <c r="D560" s="3"/>
      <c r="E560" s="7"/>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spans="1:30" ht="14.4">
      <c r="A561" s="6"/>
      <c r="B561" s="3"/>
      <c r="C561" s="3"/>
      <c r="D561" s="3"/>
      <c r="E561" s="7"/>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spans="1:30" ht="14.4">
      <c r="A562" s="6"/>
      <c r="B562" s="3"/>
      <c r="C562" s="3"/>
      <c r="D562" s="3"/>
      <c r="E562" s="7"/>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spans="1:30" ht="14.4">
      <c r="A563" s="6"/>
      <c r="B563" s="3"/>
      <c r="C563" s="3"/>
      <c r="D563" s="3"/>
      <c r="E563" s="7"/>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spans="1:30" ht="14.4">
      <c r="A564" s="6"/>
      <c r="B564" s="3"/>
      <c r="C564" s="3"/>
      <c r="D564" s="3"/>
      <c r="E564" s="7"/>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spans="1:30" ht="14.4">
      <c r="A565" s="6"/>
      <c r="B565" s="3"/>
      <c r="C565" s="3"/>
      <c r="D565" s="3"/>
      <c r="E565" s="7"/>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spans="1:30" ht="14.4">
      <c r="A566" s="6"/>
      <c r="B566" s="3"/>
      <c r="C566" s="3"/>
      <c r="D566" s="3"/>
      <c r="E566" s="7"/>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spans="1:30" ht="14.4">
      <c r="A567" s="6"/>
      <c r="B567" s="3"/>
      <c r="C567" s="3"/>
      <c r="D567" s="3"/>
      <c r="E567" s="7"/>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spans="1:30" ht="14.4">
      <c r="A568" s="6"/>
      <c r="B568" s="3"/>
      <c r="C568" s="3"/>
      <c r="D568" s="3"/>
      <c r="E568" s="7"/>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spans="1:30" ht="14.4">
      <c r="A569" s="6"/>
      <c r="B569" s="3"/>
      <c r="C569" s="3"/>
      <c r="D569" s="3"/>
      <c r="E569" s="7"/>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spans="1:30" ht="14.4">
      <c r="A570" s="6"/>
      <c r="B570" s="3"/>
      <c r="C570" s="3"/>
      <c r="D570" s="3"/>
      <c r="E570" s="7"/>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spans="1:30" ht="14.4">
      <c r="A571" s="6"/>
      <c r="B571" s="3"/>
      <c r="C571" s="3"/>
      <c r="D571" s="3"/>
      <c r="E571" s="7"/>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spans="1:30" ht="14.4">
      <c r="A572" s="6"/>
      <c r="B572" s="3"/>
      <c r="C572" s="3"/>
      <c r="D572" s="3"/>
      <c r="E572" s="7"/>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spans="1:30" ht="14.4">
      <c r="A573" s="6"/>
      <c r="B573" s="3"/>
      <c r="C573" s="3"/>
      <c r="D573" s="3"/>
      <c r="E573" s="7"/>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spans="1:30" ht="14.4">
      <c r="A574" s="6"/>
      <c r="B574" s="3"/>
      <c r="C574" s="3"/>
      <c r="D574" s="3"/>
      <c r="E574" s="7"/>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spans="1:30" ht="14.4">
      <c r="A575" s="6"/>
      <c r="B575" s="3"/>
      <c r="C575" s="3"/>
      <c r="D575" s="3"/>
      <c r="E575" s="7"/>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spans="1:30" ht="14.4">
      <c r="A576" s="6"/>
      <c r="B576" s="3"/>
      <c r="C576" s="3"/>
      <c r="D576" s="3"/>
      <c r="E576" s="7"/>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spans="1:30" ht="14.4">
      <c r="A577" s="6"/>
      <c r="B577" s="3"/>
      <c r="C577" s="3"/>
      <c r="D577" s="3"/>
      <c r="E577" s="7"/>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spans="1:30" ht="14.4">
      <c r="A578" s="6"/>
      <c r="B578" s="3"/>
      <c r="C578" s="3"/>
      <c r="D578" s="3"/>
      <c r="E578" s="7"/>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spans="1:30" ht="14.4">
      <c r="A579" s="6"/>
      <c r="B579" s="3"/>
      <c r="C579" s="3"/>
      <c r="D579" s="3"/>
      <c r="E579" s="7"/>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spans="1:30" ht="14.4">
      <c r="A580" s="6"/>
      <c r="B580" s="3"/>
      <c r="C580" s="3"/>
      <c r="D580" s="3"/>
      <c r="E580" s="7"/>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spans="1:30" ht="14.4">
      <c r="A581" s="6"/>
      <c r="B581" s="3"/>
      <c r="C581" s="3"/>
      <c r="D581" s="3"/>
      <c r="E581" s="7"/>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spans="1:30" ht="14.4">
      <c r="A582" s="6"/>
      <c r="B582" s="3"/>
      <c r="C582" s="3"/>
      <c r="D582" s="3"/>
      <c r="E582" s="7"/>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spans="1:30" ht="14.4">
      <c r="A583" s="6"/>
      <c r="B583" s="3"/>
      <c r="C583" s="3"/>
      <c r="D583" s="3"/>
      <c r="E583" s="7"/>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spans="1:30" ht="14.4">
      <c r="A584" s="6"/>
      <c r="B584" s="3"/>
      <c r="C584" s="3"/>
      <c r="D584" s="3"/>
      <c r="E584" s="7"/>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spans="1:30" ht="14.4">
      <c r="A585" s="6"/>
      <c r="B585" s="3"/>
      <c r="C585" s="3"/>
      <c r="D585" s="3"/>
      <c r="E585" s="7"/>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spans="1:30" ht="14.4">
      <c r="A586" s="6"/>
      <c r="B586" s="3"/>
      <c r="C586" s="3"/>
      <c r="D586" s="3"/>
      <c r="E586" s="7"/>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spans="1:30" ht="14.4">
      <c r="A587" s="6"/>
      <c r="B587" s="3"/>
      <c r="C587" s="3"/>
      <c r="D587" s="3"/>
      <c r="E587" s="7"/>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spans="1:30" ht="14.4">
      <c r="A588" s="6"/>
      <c r="B588" s="3"/>
      <c r="C588" s="3"/>
      <c r="D588" s="3"/>
      <c r="E588" s="7"/>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spans="1:30" ht="14.4">
      <c r="A589" s="6"/>
      <c r="B589" s="3"/>
      <c r="C589" s="3"/>
      <c r="D589" s="3"/>
      <c r="E589" s="7"/>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spans="1:30" ht="14.4">
      <c r="A590" s="6"/>
      <c r="B590" s="3"/>
      <c r="C590" s="3"/>
      <c r="D590" s="3"/>
      <c r="E590" s="7"/>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spans="1:30" ht="14.4">
      <c r="A591" s="6"/>
      <c r="B591" s="3"/>
      <c r="C591" s="3"/>
      <c r="D591" s="3"/>
      <c r="E591" s="7"/>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spans="1:30" ht="14.4">
      <c r="A592" s="6"/>
      <c r="B592" s="3"/>
      <c r="C592" s="3"/>
      <c r="D592" s="3"/>
      <c r="E592" s="7"/>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spans="1:30" ht="14.4">
      <c r="A593" s="6"/>
      <c r="B593" s="3"/>
      <c r="C593" s="3"/>
      <c r="D593" s="3"/>
      <c r="E593" s="7"/>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spans="1:30" ht="14.4">
      <c r="A594" s="6"/>
      <c r="B594" s="3"/>
      <c r="C594" s="3"/>
      <c r="D594" s="3"/>
      <c r="E594" s="7"/>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spans="1:30" ht="14.4">
      <c r="A595" s="6"/>
      <c r="B595" s="3"/>
      <c r="C595" s="3"/>
      <c r="D595" s="3"/>
      <c r="E595" s="7"/>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spans="1:30" ht="14.4">
      <c r="A596" s="6"/>
      <c r="B596" s="3"/>
      <c r="C596" s="3"/>
      <c r="D596" s="3"/>
      <c r="E596" s="7"/>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spans="1:30" ht="14.4">
      <c r="A597" s="6"/>
      <c r="B597" s="3"/>
      <c r="C597" s="3"/>
      <c r="D597" s="3"/>
      <c r="E597" s="7"/>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spans="1:30" ht="14.4">
      <c r="A598" s="6"/>
      <c r="B598" s="3"/>
      <c r="C598" s="3"/>
      <c r="D598" s="3"/>
      <c r="E598" s="7"/>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spans="1:30" ht="14.4">
      <c r="A599" s="6"/>
      <c r="B599" s="3"/>
      <c r="C599" s="3"/>
      <c r="D599" s="3"/>
      <c r="E599" s="7"/>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spans="1:30" ht="14.4">
      <c r="A600" s="6"/>
      <c r="B600" s="3"/>
      <c r="C600" s="3"/>
      <c r="D600" s="3"/>
      <c r="E600" s="7"/>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spans="1:30" ht="14.4">
      <c r="A601" s="6"/>
      <c r="B601" s="3"/>
      <c r="C601" s="3"/>
      <c r="D601" s="3"/>
      <c r="E601" s="7"/>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spans="1:30" ht="14.4">
      <c r="A602" s="6"/>
      <c r="B602" s="3"/>
      <c r="C602" s="3"/>
      <c r="D602" s="3"/>
      <c r="E602" s="7"/>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spans="1:30" ht="14.4">
      <c r="A603" s="6"/>
      <c r="B603" s="3"/>
      <c r="C603" s="3"/>
      <c r="D603" s="3"/>
      <c r="E603" s="7"/>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spans="1:30" ht="14.4">
      <c r="A604" s="6"/>
      <c r="B604" s="3"/>
      <c r="C604" s="3"/>
      <c r="D604" s="3"/>
      <c r="E604" s="7"/>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spans="1:30" ht="14.4">
      <c r="A605" s="6"/>
      <c r="B605" s="3"/>
      <c r="C605" s="3"/>
      <c r="D605" s="3"/>
      <c r="E605" s="7"/>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spans="1:30" ht="14.4">
      <c r="A606" s="6"/>
      <c r="B606" s="3"/>
      <c r="C606" s="3"/>
      <c r="D606" s="3"/>
      <c r="E606" s="7"/>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spans="1:30" ht="14.4">
      <c r="A607" s="6"/>
      <c r="B607" s="3"/>
      <c r="C607" s="3"/>
      <c r="D607" s="3"/>
      <c r="E607" s="7"/>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spans="1:30" ht="14.4">
      <c r="A608" s="6"/>
      <c r="B608" s="3"/>
      <c r="C608" s="3"/>
      <c r="D608" s="3"/>
      <c r="E608" s="7"/>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spans="1:30" ht="14.4">
      <c r="A609" s="6"/>
      <c r="B609" s="3"/>
      <c r="C609" s="3"/>
      <c r="D609" s="3"/>
      <c r="E609" s="7"/>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spans="1:30" ht="14.4">
      <c r="A610" s="6"/>
      <c r="B610" s="3"/>
      <c r="C610" s="3"/>
      <c r="D610" s="3"/>
      <c r="E610" s="7"/>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spans="1:30" ht="14.4">
      <c r="A611" s="6"/>
      <c r="B611" s="3"/>
      <c r="C611" s="3"/>
      <c r="D611" s="3"/>
      <c r="E611" s="7"/>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spans="1:30" ht="14.4">
      <c r="A612" s="6"/>
      <c r="B612" s="3"/>
      <c r="C612" s="3"/>
      <c r="D612" s="3"/>
      <c r="E612" s="7"/>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spans="1:30" ht="14.4">
      <c r="A613" s="6"/>
      <c r="B613" s="3"/>
      <c r="C613" s="3"/>
      <c r="D613" s="3"/>
      <c r="E613" s="7"/>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spans="1:30" ht="14.4">
      <c r="A614" s="6"/>
      <c r="B614" s="3"/>
      <c r="C614" s="3"/>
      <c r="D614" s="3"/>
      <c r="E614" s="7"/>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spans="1:30" ht="14.4">
      <c r="A615" s="6"/>
      <c r="B615" s="3"/>
      <c r="C615" s="3"/>
      <c r="D615" s="3"/>
      <c r="E615" s="7"/>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spans="1:30" ht="14.4">
      <c r="A616" s="6"/>
      <c r="B616" s="3"/>
      <c r="C616" s="3"/>
      <c r="D616" s="3"/>
      <c r="E616" s="7"/>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spans="1:30" ht="14.4">
      <c r="A617" s="6"/>
      <c r="B617" s="3"/>
      <c r="C617" s="3"/>
      <c r="D617" s="3"/>
      <c r="E617" s="7"/>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spans="1:30" ht="14.4">
      <c r="A618" s="6"/>
      <c r="B618" s="3"/>
      <c r="C618" s="3"/>
      <c r="D618" s="3"/>
      <c r="E618" s="7"/>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spans="1:30" ht="14.4">
      <c r="A619" s="6"/>
      <c r="B619" s="3"/>
      <c r="C619" s="3"/>
      <c r="D619" s="3"/>
      <c r="E619" s="7"/>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spans="1:30" ht="14.4">
      <c r="A620" s="6"/>
      <c r="B620" s="3"/>
      <c r="C620" s="3"/>
      <c r="D620" s="3"/>
      <c r="E620" s="7"/>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spans="1:30" ht="14.4">
      <c r="A621" s="6"/>
      <c r="B621" s="3"/>
      <c r="C621" s="3"/>
      <c r="D621" s="3"/>
      <c r="E621" s="7"/>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spans="1:30" ht="14.4">
      <c r="A622" s="6"/>
      <c r="B622" s="3"/>
      <c r="C622" s="3"/>
      <c r="D622" s="3"/>
      <c r="E622" s="7"/>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spans="1:30" ht="14.4">
      <c r="A623" s="6"/>
      <c r="B623" s="3"/>
      <c r="C623" s="3"/>
      <c r="D623" s="3"/>
      <c r="E623" s="7"/>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spans="1:30" ht="14.4">
      <c r="A624" s="6"/>
      <c r="B624" s="3"/>
      <c r="C624" s="3"/>
      <c r="D624" s="3"/>
      <c r="E624" s="7"/>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spans="1:30" ht="14.4">
      <c r="A625" s="6"/>
      <c r="B625" s="3"/>
      <c r="C625" s="3"/>
      <c r="D625" s="3"/>
      <c r="E625" s="7"/>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spans="1:30" ht="14.4">
      <c r="A626" s="6"/>
      <c r="B626" s="3"/>
      <c r="C626" s="3"/>
      <c r="D626" s="3"/>
      <c r="E626" s="7"/>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spans="1:30" ht="14.4">
      <c r="A627" s="6"/>
      <c r="B627" s="3"/>
      <c r="C627" s="3"/>
      <c r="D627" s="3"/>
      <c r="E627" s="7"/>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spans="1:30" ht="14.4">
      <c r="A628" s="6"/>
      <c r="B628" s="3"/>
      <c r="C628" s="3"/>
      <c r="D628" s="3"/>
      <c r="E628" s="7"/>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spans="1:30" ht="14.4">
      <c r="A629" s="6"/>
      <c r="B629" s="3"/>
      <c r="C629" s="3"/>
      <c r="D629" s="3"/>
      <c r="E629" s="7"/>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spans="1:30" ht="14.4">
      <c r="A630" s="6"/>
      <c r="B630" s="3"/>
      <c r="C630" s="3"/>
      <c r="D630" s="3"/>
      <c r="E630" s="7"/>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spans="1:30" ht="14.4">
      <c r="A631" s="6"/>
      <c r="B631" s="3"/>
      <c r="C631" s="3"/>
      <c r="D631" s="3"/>
      <c r="E631" s="7"/>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spans="1:30" ht="14.4">
      <c r="A632" s="6"/>
      <c r="B632" s="3"/>
      <c r="C632" s="3"/>
      <c r="D632" s="3"/>
      <c r="E632" s="7"/>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spans="1:30" ht="14.4">
      <c r="A633" s="6"/>
      <c r="B633" s="3"/>
      <c r="C633" s="3"/>
      <c r="D633" s="3"/>
      <c r="E633" s="7"/>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spans="1:30" ht="14.4">
      <c r="A634" s="6"/>
      <c r="B634" s="3"/>
      <c r="C634" s="3"/>
      <c r="D634" s="3"/>
      <c r="E634" s="7"/>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spans="1:30" ht="14.4">
      <c r="A635" s="6"/>
      <c r="B635" s="3"/>
      <c r="C635" s="3"/>
      <c r="D635" s="3"/>
      <c r="E635" s="7"/>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spans="1:30" ht="14.4">
      <c r="A636" s="6"/>
      <c r="B636" s="3"/>
      <c r="C636" s="3"/>
      <c r="D636" s="3"/>
      <c r="E636" s="7"/>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spans="1:30" ht="14.4">
      <c r="A637" s="6"/>
      <c r="B637" s="3"/>
      <c r="C637" s="3"/>
      <c r="D637" s="3"/>
      <c r="E637" s="7"/>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spans="1:30" ht="14.4">
      <c r="A638" s="6"/>
      <c r="B638" s="3"/>
      <c r="C638" s="3"/>
      <c r="D638" s="3"/>
      <c r="E638" s="7"/>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spans="1:30" ht="14.4">
      <c r="A639" s="6"/>
      <c r="B639" s="3"/>
      <c r="C639" s="3"/>
      <c r="D639" s="3"/>
      <c r="E639" s="7"/>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spans="1:30" ht="14.4">
      <c r="A640" s="6"/>
      <c r="B640" s="3"/>
      <c r="C640" s="3"/>
      <c r="D640" s="3"/>
      <c r="E640" s="7"/>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spans="1:30" ht="14.4">
      <c r="A641" s="6"/>
      <c r="B641" s="3"/>
      <c r="C641" s="3"/>
      <c r="D641" s="3"/>
      <c r="E641" s="7"/>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spans="1:30" ht="14.4">
      <c r="A642" s="6"/>
      <c r="B642" s="3"/>
      <c r="C642" s="3"/>
      <c r="D642" s="3"/>
      <c r="E642" s="7"/>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spans="1:30" ht="14.4">
      <c r="A643" s="6"/>
      <c r="B643" s="3"/>
      <c r="C643" s="3"/>
      <c r="D643" s="3"/>
      <c r="E643" s="7"/>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spans="1:30" ht="14.4">
      <c r="A644" s="6"/>
      <c r="B644" s="3"/>
      <c r="C644" s="3"/>
      <c r="D644" s="3"/>
      <c r="E644" s="7"/>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spans="1:30" ht="14.4">
      <c r="A645" s="6"/>
      <c r="B645" s="3"/>
      <c r="C645" s="3"/>
      <c r="D645" s="3"/>
      <c r="E645" s="7"/>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spans="1:30" ht="14.4">
      <c r="A646" s="6"/>
      <c r="B646" s="3"/>
      <c r="C646" s="3"/>
      <c r="D646" s="3"/>
      <c r="E646" s="7"/>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spans="1:30" ht="14.4">
      <c r="A647" s="6"/>
      <c r="B647" s="3"/>
      <c r="C647" s="3"/>
      <c r="D647" s="3"/>
      <c r="E647" s="7"/>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spans="1:30" ht="14.4">
      <c r="A648" s="6"/>
      <c r="B648" s="3"/>
      <c r="C648" s="3"/>
      <c r="D648" s="3"/>
      <c r="E648" s="7"/>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spans="1:30" ht="14.4">
      <c r="A649" s="6"/>
      <c r="B649" s="3"/>
      <c r="C649" s="3"/>
      <c r="D649" s="3"/>
      <c r="E649" s="7"/>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spans="1:30" ht="14.4">
      <c r="A650" s="6"/>
      <c r="B650" s="3"/>
      <c r="C650" s="3"/>
      <c r="D650" s="3"/>
      <c r="E650" s="7"/>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spans="1:30" ht="14.4">
      <c r="A651" s="6"/>
      <c r="B651" s="3"/>
      <c r="C651" s="3"/>
      <c r="D651" s="3"/>
      <c r="E651" s="7"/>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spans="1:30" ht="14.4">
      <c r="A652" s="6"/>
      <c r="B652" s="3"/>
      <c r="C652" s="3"/>
      <c r="D652" s="3"/>
      <c r="E652" s="7"/>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spans="1:30" ht="14.4">
      <c r="A653" s="6"/>
      <c r="B653" s="3"/>
      <c r="C653" s="3"/>
      <c r="D653" s="3"/>
      <c r="E653" s="7"/>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spans="1:30" ht="14.4">
      <c r="A654" s="6"/>
      <c r="B654" s="3"/>
      <c r="C654" s="3"/>
      <c r="D654" s="3"/>
      <c r="E654" s="7"/>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spans="1:30" ht="14.4">
      <c r="A655" s="6"/>
      <c r="B655" s="3"/>
      <c r="C655" s="3"/>
      <c r="D655" s="3"/>
      <c r="E655" s="7"/>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spans="1:30" ht="14.4">
      <c r="A656" s="6"/>
      <c r="B656" s="3"/>
      <c r="C656" s="3"/>
      <c r="D656" s="3"/>
      <c r="E656" s="7"/>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spans="1:30" ht="14.4">
      <c r="A657" s="6"/>
      <c r="B657" s="3"/>
      <c r="C657" s="3"/>
      <c r="D657" s="3"/>
      <c r="E657" s="7"/>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spans="1:30" ht="14.4">
      <c r="A658" s="6"/>
      <c r="B658" s="3"/>
      <c r="C658" s="3"/>
      <c r="D658" s="3"/>
      <c r="E658" s="7"/>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spans="1:30" ht="14.4">
      <c r="A659" s="6"/>
      <c r="B659" s="3"/>
      <c r="C659" s="3"/>
      <c r="D659" s="3"/>
      <c r="E659" s="7"/>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spans="1:30" ht="14.4">
      <c r="A660" s="6"/>
      <c r="B660" s="3"/>
      <c r="C660" s="3"/>
      <c r="D660" s="3"/>
      <c r="E660" s="7"/>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spans="1:30" ht="14.4">
      <c r="A661" s="6"/>
      <c r="B661" s="3"/>
      <c r="C661" s="3"/>
      <c r="D661" s="3"/>
      <c r="E661" s="7"/>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spans="1:30" ht="14.4">
      <c r="A662" s="6"/>
      <c r="B662" s="3"/>
      <c r="C662" s="3"/>
      <c r="D662" s="3"/>
      <c r="E662" s="7"/>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spans="1:30" ht="14.4">
      <c r="A663" s="6"/>
      <c r="B663" s="3"/>
      <c r="C663" s="3"/>
      <c r="D663" s="3"/>
      <c r="E663" s="7"/>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spans="1:30" ht="14.4">
      <c r="A664" s="6"/>
      <c r="B664" s="3"/>
      <c r="C664" s="3"/>
      <c r="D664" s="3"/>
      <c r="E664" s="7"/>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spans="1:30" ht="14.4">
      <c r="A665" s="6"/>
      <c r="B665" s="3"/>
      <c r="C665" s="3"/>
      <c r="D665" s="3"/>
      <c r="E665" s="7"/>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spans="1:30" ht="14.4">
      <c r="A666" s="6"/>
      <c r="B666" s="3"/>
      <c r="C666" s="3"/>
      <c r="D666" s="3"/>
      <c r="E666" s="7"/>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spans="1:30" ht="14.4">
      <c r="A667" s="6"/>
      <c r="B667" s="3"/>
      <c r="C667" s="3"/>
      <c r="D667" s="3"/>
      <c r="E667" s="7"/>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spans="1:30" ht="14.4">
      <c r="A668" s="6"/>
      <c r="B668" s="3"/>
      <c r="C668" s="3"/>
      <c r="D668" s="3"/>
      <c r="E668" s="7"/>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spans="1:30" ht="14.4">
      <c r="A669" s="6"/>
      <c r="B669" s="3"/>
      <c r="C669" s="3"/>
      <c r="D669" s="3"/>
      <c r="E669" s="7"/>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spans="1:30" ht="14.4">
      <c r="A670" s="6"/>
      <c r="B670" s="3"/>
      <c r="C670" s="3"/>
      <c r="D670" s="3"/>
      <c r="E670" s="7"/>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spans="1:30" ht="14.4">
      <c r="A671" s="6"/>
      <c r="B671" s="3"/>
      <c r="C671" s="3"/>
      <c r="D671" s="3"/>
      <c r="E671" s="7"/>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spans="1:30" ht="14.4">
      <c r="A672" s="6"/>
      <c r="B672" s="3"/>
      <c r="C672" s="3"/>
      <c r="D672" s="3"/>
      <c r="E672" s="7"/>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spans="1:30" ht="14.4">
      <c r="A673" s="6"/>
      <c r="B673" s="3"/>
      <c r="C673" s="3"/>
      <c r="D673" s="3"/>
      <c r="E673" s="7"/>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spans="1:30" ht="14.4">
      <c r="A674" s="6"/>
      <c r="B674" s="3"/>
      <c r="C674" s="3"/>
      <c r="D674" s="3"/>
      <c r="E674" s="7"/>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spans="1:30" ht="14.4">
      <c r="A675" s="6"/>
      <c r="B675" s="3"/>
      <c r="C675" s="3"/>
      <c r="D675" s="3"/>
      <c r="E675" s="7"/>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spans="1:30" ht="14.4">
      <c r="A676" s="6"/>
      <c r="B676" s="3"/>
      <c r="C676" s="3"/>
      <c r="D676" s="3"/>
      <c r="E676" s="7"/>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spans="1:30" ht="14.4">
      <c r="A677" s="6"/>
      <c r="B677" s="3"/>
      <c r="C677" s="3"/>
      <c r="D677" s="3"/>
      <c r="E677" s="7"/>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spans="1:30" ht="14.4">
      <c r="A678" s="6"/>
      <c r="B678" s="3"/>
      <c r="C678" s="3"/>
      <c r="D678" s="3"/>
      <c r="E678" s="7"/>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spans="1:30" ht="14.4">
      <c r="A679" s="6"/>
      <c r="B679" s="3"/>
      <c r="C679" s="3"/>
      <c r="D679" s="3"/>
      <c r="E679" s="7"/>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spans="1:30" ht="14.4">
      <c r="A680" s="6"/>
      <c r="B680" s="3"/>
      <c r="C680" s="3"/>
      <c r="D680" s="3"/>
      <c r="E680" s="7"/>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spans="1:30" ht="14.4">
      <c r="A681" s="6"/>
      <c r="B681" s="3"/>
      <c r="C681" s="3"/>
      <c r="D681" s="3"/>
      <c r="E681" s="7"/>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spans="1:30" ht="14.4">
      <c r="A682" s="6"/>
      <c r="B682" s="3"/>
      <c r="C682" s="3"/>
      <c r="D682" s="3"/>
      <c r="E682" s="7"/>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spans="1:30" ht="14.4">
      <c r="A683" s="6"/>
      <c r="B683" s="3"/>
      <c r="C683" s="3"/>
      <c r="D683" s="3"/>
      <c r="E683" s="7"/>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spans="1:30" ht="14.4">
      <c r="A684" s="6"/>
      <c r="B684" s="3"/>
      <c r="C684" s="3"/>
      <c r="D684" s="3"/>
      <c r="E684" s="7"/>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spans="1:30" ht="14.4">
      <c r="A685" s="6"/>
      <c r="B685" s="3"/>
      <c r="C685" s="3"/>
      <c r="D685" s="3"/>
      <c r="E685" s="7"/>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spans="1:30" ht="14.4">
      <c r="A686" s="6"/>
      <c r="B686" s="3"/>
      <c r="C686" s="3"/>
      <c r="D686" s="3"/>
      <c r="E686" s="7"/>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spans="1:30" ht="14.4">
      <c r="A687" s="6"/>
      <c r="B687" s="3"/>
      <c r="C687" s="3"/>
      <c r="D687" s="3"/>
      <c r="E687" s="7"/>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spans="1:30" ht="14.4">
      <c r="A688" s="6"/>
      <c r="B688" s="3"/>
      <c r="C688" s="3"/>
      <c r="D688" s="3"/>
      <c r="E688" s="7"/>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spans="1:30" ht="14.4">
      <c r="A689" s="6"/>
      <c r="B689" s="3"/>
      <c r="C689" s="3"/>
      <c r="D689" s="3"/>
      <c r="E689" s="7"/>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spans="1:30" ht="14.4">
      <c r="A690" s="6"/>
      <c r="B690" s="3"/>
      <c r="C690" s="3"/>
      <c r="D690" s="3"/>
      <c r="E690" s="7"/>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spans="1:30" ht="14.4">
      <c r="A691" s="6"/>
      <c r="B691" s="3"/>
      <c r="C691" s="3"/>
      <c r="D691" s="3"/>
      <c r="E691" s="7"/>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spans="1:30" ht="14.4">
      <c r="A692" s="6"/>
      <c r="B692" s="3"/>
      <c r="C692" s="3"/>
      <c r="D692" s="3"/>
      <c r="E692" s="7"/>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spans="1:30" ht="14.4">
      <c r="A693" s="6"/>
      <c r="B693" s="3"/>
      <c r="C693" s="3"/>
      <c r="D693" s="3"/>
      <c r="E693" s="7"/>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spans="1:30" ht="14.4">
      <c r="A694" s="6"/>
      <c r="B694" s="3"/>
      <c r="C694" s="3"/>
      <c r="D694" s="3"/>
      <c r="E694" s="7"/>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spans="1:30" ht="14.4">
      <c r="A695" s="6"/>
      <c r="B695" s="3"/>
      <c r="C695" s="3"/>
      <c r="D695" s="3"/>
      <c r="E695" s="7"/>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spans="1:30" ht="14.4">
      <c r="A696" s="6"/>
      <c r="B696" s="3"/>
      <c r="C696" s="3"/>
      <c r="D696" s="3"/>
      <c r="E696" s="7"/>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spans="1:30" ht="14.4">
      <c r="A697" s="6"/>
      <c r="B697" s="3"/>
      <c r="C697" s="3"/>
      <c r="D697" s="3"/>
      <c r="E697" s="7"/>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spans="1:30" ht="14.4">
      <c r="A698" s="6"/>
      <c r="B698" s="3"/>
      <c r="C698" s="3"/>
      <c r="D698" s="3"/>
      <c r="E698" s="7"/>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spans="1:30" ht="14.4">
      <c r="A699" s="6"/>
      <c r="B699" s="3"/>
      <c r="C699" s="3"/>
      <c r="D699" s="3"/>
      <c r="E699" s="7"/>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spans="1:30" ht="14.4">
      <c r="A700" s="6"/>
      <c r="B700" s="3"/>
      <c r="C700" s="3"/>
      <c r="D700" s="3"/>
      <c r="E700" s="7"/>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spans="1:30" ht="14.4">
      <c r="A701" s="6"/>
      <c r="B701" s="3"/>
      <c r="C701" s="3"/>
      <c r="D701" s="3"/>
      <c r="E701" s="7"/>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spans="1:30" ht="14.4">
      <c r="A702" s="6"/>
      <c r="B702" s="3"/>
      <c r="C702" s="3"/>
      <c r="D702" s="3"/>
      <c r="E702" s="7"/>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spans="1:30" ht="14.4">
      <c r="A703" s="6"/>
      <c r="B703" s="3"/>
      <c r="C703" s="3"/>
      <c r="D703" s="3"/>
      <c r="E703" s="7"/>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spans="1:30" ht="14.4">
      <c r="A704" s="6"/>
      <c r="B704" s="3"/>
      <c r="C704" s="3"/>
      <c r="D704" s="3"/>
      <c r="E704" s="7"/>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spans="1:30" ht="14.4">
      <c r="A705" s="6"/>
      <c r="B705" s="3"/>
      <c r="C705" s="3"/>
      <c r="D705" s="3"/>
      <c r="E705" s="7"/>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spans="1:30" ht="14.4">
      <c r="A706" s="6"/>
      <c r="B706" s="3"/>
      <c r="C706" s="3"/>
      <c r="D706" s="3"/>
      <c r="E706" s="7"/>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spans="1:30" ht="14.4">
      <c r="A707" s="6"/>
      <c r="B707" s="3"/>
      <c r="C707" s="3"/>
      <c r="D707" s="3"/>
      <c r="E707" s="7"/>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spans="1:30" ht="14.4">
      <c r="A708" s="6"/>
      <c r="B708" s="3"/>
      <c r="C708" s="3"/>
      <c r="D708" s="3"/>
      <c r="E708" s="7"/>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spans="1:30" ht="14.4">
      <c r="A709" s="6"/>
      <c r="B709" s="3"/>
      <c r="C709" s="3"/>
      <c r="D709" s="3"/>
      <c r="E709" s="7"/>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spans="1:30" ht="14.4">
      <c r="A710" s="6"/>
      <c r="B710" s="3"/>
      <c r="C710" s="3"/>
      <c r="D710" s="3"/>
      <c r="E710" s="7"/>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spans="1:30" ht="14.4">
      <c r="A711" s="6"/>
      <c r="B711" s="3"/>
      <c r="C711" s="3"/>
      <c r="D711" s="3"/>
      <c r="E711" s="7"/>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spans="1:30" ht="14.4">
      <c r="A712" s="6"/>
      <c r="B712" s="3"/>
      <c r="C712" s="3"/>
      <c r="D712" s="3"/>
      <c r="E712" s="7"/>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spans="1:30" ht="14.4">
      <c r="A713" s="6"/>
      <c r="B713" s="3"/>
      <c r="C713" s="3"/>
      <c r="D713" s="3"/>
      <c r="E713" s="7"/>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spans="1:30" ht="14.4">
      <c r="A714" s="6"/>
      <c r="B714" s="3"/>
      <c r="C714" s="3"/>
      <c r="D714" s="3"/>
      <c r="E714" s="7"/>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spans="1:30" ht="14.4">
      <c r="A715" s="6"/>
      <c r="B715" s="3"/>
      <c r="C715" s="3"/>
      <c r="D715" s="3"/>
      <c r="E715" s="7"/>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spans="1:30" ht="14.4">
      <c r="A716" s="6"/>
      <c r="B716" s="3"/>
      <c r="C716" s="3"/>
      <c r="D716" s="3"/>
      <c r="E716" s="7"/>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spans="1:30" ht="14.4">
      <c r="A717" s="6"/>
      <c r="B717" s="3"/>
      <c r="C717" s="3"/>
      <c r="D717" s="3"/>
      <c r="E717" s="7"/>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spans="1:30" ht="14.4">
      <c r="A718" s="6"/>
      <c r="B718" s="3"/>
      <c r="C718" s="3"/>
      <c r="D718" s="3"/>
      <c r="E718" s="7"/>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spans="1:30" ht="14.4">
      <c r="A719" s="6"/>
      <c r="B719" s="3"/>
      <c r="C719" s="3"/>
      <c r="D719" s="3"/>
      <c r="E719" s="7"/>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spans="1:30" ht="14.4">
      <c r="A720" s="6"/>
      <c r="B720" s="3"/>
      <c r="C720" s="3"/>
      <c r="D720" s="3"/>
      <c r="E720" s="7"/>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spans="1:30" ht="14.4">
      <c r="A721" s="6"/>
      <c r="B721" s="3"/>
      <c r="C721" s="3"/>
      <c r="D721" s="3"/>
      <c r="E721" s="7"/>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spans="1:30" ht="14.4">
      <c r="A722" s="6"/>
      <c r="B722" s="3"/>
      <c r="C722" s="3"/>
      <c r="D722" s="3"/>
      <c r="E722" s="7"/>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spans="1:30" ht="14.4">
      <c r="A723" s="6"/>
      <c r="B723" s="3"/>
      <c r="C723" s="3"/>
      <c r="D723" s="3"/>
      <c r="E723" s="7"/>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spans="1:30" ht="14.4">
      <c r="A724" s="6"/>
      <c r="B724" s="3"/>
      <c r="C724" s="3"/>
      <c r="D724" s="3"/>
      <c r="E724" s="7"/>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spans="1:30" ht="14.4">
      <c r="A725" s="6"/>
      <c r="B725" s="3"/>
      <c r="C725" s="3"/>
      <c r="D725" s="3"/>
      <c r="E725" s="7"/>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spans="1:30" ht="14.4">
      <c r="A726" s="6"/>
      <c r="B726" s="3"/>
      <c r="C726" s="3"/>
      <c r="D726" s="3"/>
      <c r="E726" s="7"/>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spans="1:30" ht="14.4">
      <c r="A727" s="6"/>
      <c r="B727" s="3"/>
      <c r="C727" s="3"/>
      <c r="D727" s="3"/>
      <c r="E727" s="7"/>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spans="1:30" ht="14.4">
      <c r="A728" s="6"/>
      <c r="B728" s="3"/>
      <c r="C728" s="3"/>
      <c r="D728" s="3"/>
      <c r="E728" s="7"/>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spans="1:30" ht="14.4">
      <c r="A729" s="6"/>
      <c r="B729" s="3"/>
      <c r="C729" s="3"/>
      <c r="D729" s="3"/>
      <c r="E729" s="7"/>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spans="1:30" ht="14.4">
      <c r="A730" s="6"/>
      <c r="B730" s="3"/>
      <c r="C730" s="3"/>
      <c r="D730" s="3"/>
      <c r="E730" s="7"/>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spans="1:30" ht="14.4">
      <c r="A731" s="6"/>
      <c r="B731" s="3"/>
      <c r="C731" s="3"/>
      <c r="D731" s="3"/>
      <c r="E731" s="7"/>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spans="1:30" ht="14.4">
      <c r="A732" s="6"/>
      <c r="B732" s="3"/>
      <c r="C732" s="3"/>
      <c r="D732" s="3"/>
      <c r="E732" s="7"/>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spans="1:30" ht="14.4">
      <c r="A733" s="6"/>
      <c r="B733" s="3"/>
      <c r="C733" s="3"/>
      <c r="D733" s="3"/>
      <c r="E733" s="7"/>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spans="1:30" ht="14.4">
      <c r="A734" s="6"/>
      <c r="B734" s="3"/>
      <c r="C734" s="3"/>
      <c r="D734" s="3"/>
      <c r="E734" s="7"/>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spans="1:30" ht="14.4">
      <c r="A735" s="6"/>
      <c r="B735" s="3"/>
      <c r="C735" s="3"/>
      <c r="D735" s="3"/>
      <c r="E735" s="7"/>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spans="1:30" ht="14.4">
      <c r="A736" s="6"/>
      <c r="B736" s="3"/>
      <c r="C736" s="3"/>
      <c r="D736" s="3"/>
      <c r="E736" s="7"/>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spans="1:30" ht="14.4">
      <c r="A737" s="6"/>
      <c r="B737" s="3"/>
      <c r="C737" s="3"/>
      <c r="D737" s="3"/>
      <c r="E737" s="7"/>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spans="1:30" ht="14.4">
      <c r="A738" s="6"/>
      <c r="B738" s="3"/>
      <c r="C738" s="3"/>
      <c r="D738" s="3"/>
      <c r="E738" s="7"/>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spans="1:30" ht="14.4">
      <c r="A739" s="6"/>
      <c r="B739" s="3"/>
      <c r="C739" s="3"/>
      <c r="D739" s="3"/>
      <c r="E739" s="7"/>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spans="1:30" ht="14.4">
      <c r="A740" s="6"/>
      <c r="B740" s="3"/>
      <c r="C740" s="3"/>
      <c r="D740" s="3"/>
      <c r="E740" s="7"/>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spans="1:30" ht="14.4">
      <c r="A741" s="6"/>
      <c r="B741" s="3"/>
      <c r="C741" s="3"/>
      <c r="D741" s="3"/>
      <c r="E741" s="7"/>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spans="1:30" ht="14.4">
      <c r="A742" s="6"/>
      <c r="B742" s="3"/>
      <c r="C742" s="3"/>
      <c r="D742" s="3"/>
      <c r="E742" s="7"/>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spans="1:30" ht="14.4">
      <c r="A743" s="6"/>
      <c r="B743" s="3"/>
      <c r="C743" s="3"/>
      <c r="D743" s="3"/>
      <c r="E743" s="7"/>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spans="1:30" ht="14.4">
      <c r="A744" s="6"/>
      <c r="B744" s="3"/>
      <c r="C744" s="3"/>
      <c r="D744" s="3"/>
      <c r="E744" s="7"/>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spans="1:30" ht="14.4">
      <c r="A745" s="6"/>
      <c r="B745" s="3"/>
      <c r="C745" s="3"/>
      <c r="D745" s="3"/>
      <c r="E745" s="7"/>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spans="1:30" ht="14.4">
      <c r="A746" s="6"/>
      <c r="B746" s="3"/>
      <c r="C746" s="3"/>
      <c r="D746" s="3"/>
      <c r="E746" s="7"/>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spans="1:30" ht="14.4">
      <c r="A747" s="6"/>
      <c r="B747" s="3"/>
      <c r="C747" s="3"/>
      <c r="D747" s="3"/>
      <c r="E747" s="7"/>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spans="1:30" ht="14.4">
      <c r="A748" s="6"/>
      <c r="B748" s="3"/>
      <c r="C748" s="3"/>
      <c r="D748" s="3"/>
      <c r="E748" s="7"/>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spans="1:30" ht="14.4">
      <c r="A749" s="6"/>
      <c r="B749" s="3"/>
      <c r="C749" s="3"/>
      <c r="D749" s="3"/>
      <c r="E749" s="7"/>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spans="1:30" ht="14.4">
      <c r="A750" s="6"/>
      <c r="B750" s="3"/>
      <c r="C750" s="3"/>
      <c r="D750" s="3"/>
      <c r="E750" s="7"/>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spans="1:30" ht="14.4">
      <c r="A751" s="6"/>
      <c r="B751" s="3"/>
      <c r="C751" s="3"/>
      <c r="D751" s="3"/>
      <c r="E751" s="7"/>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spans="1:30" ht="14.4">
      <c r="A752" s="6"/>
      <c r="B752" s="3"/>
      <c r="C752" s="3"/>
      <c r="D752" s="3"/>
      <c r="E752" s="7"/>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spans="1:30" ht="14.4">
      <c r="A753" s="6"/>
      <c r="B753" s="3"/>
      <c r="C753" s="3"/>
      <c r="D753" s="3"/>
      <c r="E753" s="7"/>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spans="1:30" ht="14.4">
      <c r="A754" s="6"/>
      <c r="B754" s="3"/>
      <c r="C754" s="3"/>
      <c r="D754" s="3"/>
      <c r="E754" s="7"/>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spans="1:30" ht="14.4">
      <c r="A755" s="6"/>
      <c r="B755" s="3"/>
      <c r="C755" s="3"/>
      <c r="D755" s="3"/>
      <c r="E755" s="7"/>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spans="1:30" ht="14.4">
      <c r="A756" s="6"/>
      <c r="B756" s="3"/>
      <c r="C756" s="3"/>
      <c r="D756" s="3"/>
      <c r="E756" s="7"/>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spans="1:30" ht="14.4">
      <c r="A757" s="6"/>
      <c r="B757" s="3"/>
      <c r="C757" s="3"/>
      <c r="D757" s="3"/>
      <c r="E757" s="7"/>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spans="1:30" ht="14.4">
      <c r="A758" s="6"/>
      <c r="B758" s="3"/>
      <c r="C758" s="3"/>
      <c r="D758" s="3"/>
      <c r="E758" s="7"/>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spans="1:30" ht="14.4">
      <c r="A759" s="6"/>
      <c r="B759" s="3"/>
      <c r="C759" s="3"/>
      <c r="D759" s="3"/>
      <c r="E759" s="7"/>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spans="1:30" ht="14.4">
      <c r="A760" s="6"/>
      <c r="B760" s="3"/>
      <c r="C760" s="3"/>
      <c r="D760" s="3"/>
      <c r="E760" s="7"/>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spans="1:30" ht="14.4">
      <c r="A761" s="6"/>
      <c r="B761" s="3"/>
      <c r="C761" s="3"/>
      <c r="D761" s="3"/>
      <c r="E761" s="7"/>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spans="1:30" ht="14.4">
      <c r="A762" s="6"/>
      <c r="B762" s="3"/>
      <c r="C762" s="3"/>
      <c r="D762" s="3"/>
      <c r="E762" s="7"/>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spans="1:30" ht="14.4">
      <c r="A763" s="6"/>
      <c r="B763" s="3"/>
      <c r="C763" s="3"/>
      <c r="D763" s="3"/>
      <c r="E763" s="7"/>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spans="1:30" ht="14.4">
      <c r="A764" s="6"/>
      <c r="B764" s="3"/>
      <c r="C764" s="3"/>
      <c r="D764" s="3"/>
      <c r="E764" s="7"/>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spans="1:30" ht="14.4">
      <c r="A765" s="6"/>
      <c r="B765" s="3"/>
      <c r="C765" s="3"/>
      <c r="D765" s="3"/>
      <c r="E765" s="7"/>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spans="1:30" ht="14.4">
      <c r="A766" s="6"/>
      <c r="B766" s="3"/>
      <c r="C766" s="3"/>
      <c r="D766" s="3"/>
      <c r="E766" s="7"/>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spans="1:30" ht="14.4">
      <c r="A767" s="6"/>
      <c r="B767" s="3"/>
      <c r="C767" s="3"/>
      <c r="D767" s="3"/>
      <c r="E767" s="7"/>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spans="1:30" ht="14.4">
      <c r="A768" s="6"/>
      <c r="B768" s="3"/>
      <c r="C768" s="3"/>
      <c r="D768" s="3"/>
      <c r="E768" s="7"/>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spans="1:30" ht="14.4">
      <c r="A769" s="6"/>
      <c r="B769" s="3"/>
      <c r="C769" s="3"/>
      <c r="D769" s="3"/>
      <c r="E769" s="7"/>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spans="1:30" ht="14.4">
      <c r="A770" s="6"/>
      <c r="B770" s="3"/>
      <c r="C770" s="3"/>
      <c r="D770" s="3"/>
      <c r="E770" s="7"/>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spans="1:30" ht="14.4">
      <c r="A771" s="6"/>
      <c r="B771" s="3"/>
      <c r="C771" s="3"/>
      <c r="D771" s="3"/>
      <c r="E771" s="7"/>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spans="1:30" ht="14.4">
      <c r="A772" s="6"/>
      <c r="B772" s="3"/>
      <c r="C772" s="3"/>
      <c r="D772" s="3"/>
      <c r="E772" s="7"/>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spans="1:30" ht="14.4">
      <c r="A773" s="6"/>
      <c r="B773" s="3"/>
      <c r="C773" s="3"/>
      <c r="D773" s="3"/>
      <c r="E773" s="7"/>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spans="1:30" ht="14.4">
      <c r="A774" s="6"/>
      <c r="B774" s="3"/>
      <c r="C774" s="3"/>
      <c r="D774" s="3"/>
      <c r="E774" s="7"/>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spans="1:30" ht="14.4">
      <c r="A775" s="6"/>
      <c r="B775" s="3"/>
      <c r="C775" s="3"/>
      <c r="D775" s="3"/>
      <c r="E775" s="7"/>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spans="1:30" ht="14.4">
      <c r="A776" s="6"/>
      <c r="B776" s="3"/>
      <c r="C776" s="3"/>
      <c r="D776" s="3"/>
      <c r="E776" s="7"/>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spans="1:30" ht="14.4">
      <c r="A777" s="6"/>
      <c r="B777" s="3"/>
      <c r="C777" s="3"/>
      <c r="D777" s="3"/>
      <c r="E777" s="7"/>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spans="1:30" ht="14.4">
      <c r="A778" s="6"/>
      <c r="B778" s="3"/>
      <c r="C778" s="3"/>
      <c r="D778" s="3"/>
      <c r="E778" s="7"/>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spans="1:30" ht="14.4">
      <c r="A779" s="6"/>
      <c r="B779" s="3"/>
      <c r="C779" s="3"/>
      <c r="D779" s="3"/>
      <c r="E779" s="7"/>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spans="1:30" ht="14.4">
      <c r="A780" s="6"/>
      <c r="B780" s="3"/>
      <c r="C780" s="3"/>
      <c r="D780" s="3"/>
      <c r="E780" s="7"/>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spans="1:30" ht="14.4">
      <c r="A781" s="6"/>
      <c r="B781" s="3"/>
      <c r="C781" s="3"/>
      <c r="D781" s="3"/>
      <c r="E781" s="7"/>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spans="1:30" ht="14.4">
      <c r="A782" s="6"/>
      <c r="B782" s="3"/>
      <c r="C782" s="3"/>
      <c r="D782" s="3"/>
      <c r="E782" s="7"/>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spans="1:30" ht="14.4">
      <c r="A783" s="6"/>
      <c r="B783" s="3"/>
      <c r="C783" s="3"/>
      <c r="D783" s="3"/>
      <c r="E783" s="7"/>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spans="1:30" ht="14.4">
      <c r="A784" s="6"/>
      <c r="B784" s="3"/>
      <c r="C784" s="3"/>
      <c r="D784" s="3"/>
      <c r="E784" s="7"/>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spans="1:30" ht="14.4">
      <c r="A785" s="6"/>
      <c r="B785" s="3"/>
      <c r="C785" s="3"/>
      <c r="D785" s="3"/>
      <c r="E785" s="7"/>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spans="1:30" ht="14.4">
      <c r="A786" s="6"/>
      <c r="B786" s="3"/>
      <c r="C786" s="3"/>
      <c r="D786" s="3"/>
      <c r="E786" s="7"/>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spans="1:30" ht="14.4">
      <c r="A787" s="6"/>
      <c r="B787" s="3"/>
      <c r="C787" s="3"/>
      <c r="D787" s="3"/>
      <c r="E787" s="7"/>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spans="1:30" ht="14.4">
      <c r="A788" s="6"/>
      <c r="B788" s="3"/>
      <c r="C788" s="3"/>
      <c r="D788" s="3"/>
      <c r="E788" s="7"/>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spans="1:30" ht="14.4">
      <c r="A789" s="6"/>
      <c r="B789" s="3"/>
      <c r="C789" s="3"/>
      <c r="D789" s="3"/>
      <c r="E789" s="7"/>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spans="1:30" ht="14.4">
      <c r="A790" s="6"/>
      <c r="B790" s="3"/>
      <c r="C790" s="3"/>
      <c r="D790" s="3"/>
      <c r="E790" s="7"/>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spans="1:30" ht="14.4">
      <c r="A791" s="6"/>
      <c r="B791" s="3"/>
      <c r="C791" s="3"/>
      <c r="D791" s="3"/>
      <c r="E791" s="7"/>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spans="1:30" ht="14.4">
      <c r="A792" s="6"/>
      <c r="B792" s="3"/>
      <c r="C792" s="3"/>
      <c r="D792" s="3"/>
      <c r="E792" s="7"/>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spans="1:30" ht="14.4">
      <c r="A793" s="6"/>
      <c r="B793" s="3"/>
      <c r="C793" s="3"/>
      <c r="D793" s="3"/>
      <c r="E793" s="7"/>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spans="1:30" ht="14.4">
      <c r="A794" s="6"/>
      <c r="B794" s="3"/>
      <c r="C794" s="3"/>
      <c r="D794" s="3"/>
      <c r="E794" s="7"/>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spans="1:30" ht="14.4">
      <c r="A795" s="6"/>
      <c r="B795" s="3"/>
      <c r="C795" s="3"/>
      <c r="D795" s="3"/>
      <c r="E795" s="7"/>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spans="1:30" ht="14.4">
      <c r="A796" s="6"/>
      <c r="B796" s="3"/>
      <c r="C796" s="3"/>
      <c r="D796" s="3"/>
      <c r="E796" s="7"/>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spans="1:30" ht="14.4">
      <c r="A797" s="6"/>
      <c r="B797" s="3"/>
      <c r="C797" s="3"/>
      <c r="D797" s="3"/>
      <c r="E797" s="7"/>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spans="1:30" ht="14.4">
      <c r="A798" s="6"/>
      <c r="B798" s="3"/>
      <c r="C798" s="3"/>
      <c r="D798" s="3"/>
      <c r="E798" s="7"/>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spans="1:30" ht="14.4">
      <c r="A799" s="6"/>
      <c r="B799" s="3"/>
      <c r="C799" s="3"/>
      <c r="D799" s="3"/>
      <c r="E799" s="7"/>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spans="1:30" ht="14.4">
      <c r="A800" s="6"/>
      <c r="B800" s="3"/>
      <c r="C800" s="3"/>
      <c r="D800" s="3"/>
      <c r="E800" s="7"/>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spans="1:30" ht="14.4">
      <c r="A801" s="6"/>
      <c r="B801" s="3"/>
      <c r="C801" s="3"/>
      <c r="D801" s="3"/>
      <c r="E801" s="7"/>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spans="1:30" ht="14.4">
      <c r="A802" s="6"/>
      <c r="B802" s="3"/>
      <c r="C802" s="3"/>
      <c r="D802" s="3"/>
      <c r="E802" s="7"/>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spans="1:30" ht="14.4">
      <c r="A803" s="6"/>
      <c r="B803" s="3"/>
      <c r="C803" s="3"/>
      <c r="D803" s="3"/>
      <c r="E803" s="7"/>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spans="1:30" ht="14.4">
      <c r="A804" s="6"/>
      <c r="B804" s="3"/>
      <c r="C804" s="3"/>
      <c r="D804" s="3"/>
      <c r="E804" s="7"/>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spans="1:30" ht="14.4">
      <c r="A805" s="6"/>
      <c r="B805" s="3"/>
      <c r="C805" s="3"/>
      <c r="D805" s="3"/>
      <c r="E805" s="7"/>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spans="1:30" ht="14.4">
      <c r="A806" s="6"/>
      <c r="B806" s="3"/>
      <c r="C806" s="3"/>
      <c r="D806" s="3"/>
      <c r="E806" s="7"/>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spans="1:30" ht="14.4">
      <c r="A807" s="6"/>
      <c r="B807" s="3"/>
      <c r="C807" s="3"/>
      <c r="D807" s="3"/>
      <c r="E807" s="7"/>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spans="1:30" ht="14.4">
      <c r="A808" s="6"/>
      <c r="B808" s="3"/>
      <c r="C808" s="3"/>
      <c r="D808" s="3"/>
      <c r="E808" s="7"/>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spans="1:30" ht="14.4">
      <c r="A809" s="6"/>
      <c r="B809" s="3"/>
      <c r="C809" s="3"/>
      <c r="D809" s="3"/>
      <c r="E809" s="7"/>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spans="1:30" ht="14.4">
      <c r="A810" s="6"/>
      <c r="B810" s="3"/>
      <c r="C810" s="3"/>
      <c r="D810" s="3"/>
      <c r="E810" s="7"/>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spans="1:30" ht="14.4">
      <c r="A811" s="6"/>
      <c r="B811" s="3"/>
      <c r="C811" s="3"/>
      <c r="D811" s="3"/>
      <c r="E811" s="7"/>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spans="1:30" ht="14.4">
      <c r="A812" s="6"/>
      <c r="B812" s="3"/>
      <c r="C812" s="3"/>
      <c r="D812" s="3"/>
      <c r="E812" s="7"/>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spans="1:30" ht="14.4">
      <c r="A813" s="6"/>
      <c r="B813" s="3"/>
      <c r="C813" s="3"/>
      <c r="D813" s="3"/>
      <c r="E813" s="7"/>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spans="1:30" ht="14.4">
      <c r="A814" s="6"/>
      <c r="B814" s="3"/>
      <c r="C814" s="3"/>
      <c r="D814" s="3"/>
      <c r="E814" s="7"/>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spans="1:30" ht="14.4">
      <c r="A815" s="6"/>
      <c r="B815" s="3"/>
      <c r="C815" s="3"/>
      <c r="D815" s="3"/>
      <c r="E815" s="7"/>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spans="1:30" ht="14.4">
      <c r="A816" s="6"/>
      <c r="B816" s="3"/>
      <c r="C816" s="3"/>
      <c r="D816" s="3"/>
      <c r="E816" s="7"/>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spans="1:30" ht="14.4">
      <c r="A817" s="6"/>
      <c r="B817" s="3"/>
      <c r="C817" s="3"/>
      <c r="D817" s="3"/>
      <c r="E817" s="7"/>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spans="1:30" ht="14.4">
      <c r="A818" s="6"/>
      <c r="B818" s="3"/>
      <c r="C818" s="3"/>
      <c r="D818" s="3"/>
      <c r="E818" s="7"/>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spans="1:30" ht="14.4">
      <c r="A819" s="6"/>
      <c r="B819" s="3"/>
      <c r="C819" s="3"/>
      <c r="D819" s="3"/>
      <c r="E819" s="7"/>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spans="1:30" ht="14.4">
      <c r="A820" s="6"/>
      <c r="B820" s="3"/>
      <c r="C820" s="3"/>
      <c r="D820" s="3"/>
      <c r="E820" s="7"/>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spans="1:30" ht="14.4">
      <c r="A821" s="6"/>
      <c r="B821" s="3"/>
      <c r="C821" s="3"/>
      <c r="D821" s="3"/>
      <c r="E821" s="7"/>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spans="1:30" ht="14.4">
      <c r="A822" s="6"/>
      <c r="B822" s="3"/>
      <c r="C822" s="3"/>
      <c r="D822" s="3"/>
      <c r="E822" s="7"/>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spans="1:30" ht="14.4">
      <c r="A823" s="6"/>
      <c r="B823" s="3"/>
      <c r="C823" s="3"/>
      <c r="D823" s="3"/>
      <c r="E823" s="7"/>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spans="1:30" ht="14.4">
      <c r="A824" s="6"/>
      <c r="B824" s="3"/>
      <c r="C824" s="3"/>
      <c r="D824" s="3"/>
      <c r="E824" s="7"/>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spans="1:30" ht="14.4">
      <c r="A825" s="6"/>
      <c r="B825" s="3"/>
      <c r="C825" s="3"/>
      <c r="D825" s="3"/>
      <c r="E825" s="7"/>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spans="1:30" ht="14.4">
      <c r="A826" s="6"/>
      <c r="B826" s="3"/>
      <c r="C826" s="3"/>
      <c r="D826" s="3"/>
      <c r="E826" s="7"/>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spans="1:30" ht="14.4">
      <c r="A827" s="6"/>
      <c r="B827" s="3"/>
      <c r="C827" s="3"/>
      <c r="D827" s="3"/>
      <c r="E827" s="7"/>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spans="1:30" ht="14.4">
      <c r="A828" s="6"/>
      <c r="B828" s="3"/>
      <c r="C828" s="3"/>
      <c r="D828" s="3"/>
      <c r="E828" s="7"/>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spans="1:30" ht="14.4">
      <c r="A829" s="6"/>
      <c r="B829" s="3"/>
      <c r="C829" s="3"/>
      <c r="D829" s="3"/>
      <c r="E829" s="7"/>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spans="1:30" ht="14.4">
      <c r="A830" s="6"/>
      <c r="B830" s="3"/>
      <c r="C830" s="3"/>
      <c r="D830" s="3"/>
      <c r="E830" s="7"/>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spans="1:30" ht="14.4">
      <c r="A831" s="6"/>
      <c r="B831" s="3"/>
      <c r="C831" s="3"/>
      <c r="D831" s="3"/>
      <c r="E831" s="7"/>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spans="1:30" ht="14.4">
      <c r="A832" s="6"/>
      <c r="B832" s="3"/>
      <c r="C832" s="3"/>
      <c r="D832" s="3"/>
      <c r="E832" s="7"/>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spans="1:30" ht="14.4">
      <c r="A833" s="6"/>
      <c r="B833" s="3"/>
      <c r="C833" s="3"/>
      <c r="D833" s="3"/>
      <c r="E833" s="7"/>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spans="1:30" ht="14.4">
      <c r="A834" s="6"/>
      <c r="B834" s="3"/>
      <c r="C834" s="3"/>
      <c r="D834" s="3"/>
      <c r="E834" s="7"/>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spans="1:30" ht="14.4">
      <c r="A835" s="6"/>
      <c r="B835" s="3"/>
      <c r="C835" s="3"/>
      <c r="D835" s="3"/>
      <c r="E835" s="7"/>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spans="1:30" ht="14.4">
      <c r="A836" s="6"/>
      <c r="B836" s="3"/>
      <c r="C836" s="3"/>
      <c r="D836" s="3"/>
      <c r="E836" s="7"/>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spans="1:30" ht="14.4">
      <c r="A837" s="6"/>
      <c r="B837" s="3"/>
      <c r="C837" s="3"/>
      <c r="D837" s="3"/>
      <c r="E837" s="7"/>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spans="1:30" ht="14.4">
      <c r="A838" s="6"/>
      <c r="B838" s="3"/>
      <c r="C838" s="3"/>
      <c r="D838" s="3"/>
      <c r="E838" s="7"/>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spans="1:30" ht="14.4">
      <c r="A839" s="6"/>
      <c r="B839" s="3"/>
      <c r="C839" s="3"/>
      <c r="D839" s="3"/>
      <c r="E839" s="7"/>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spans="1:30" ht="14.4">
      <c r="A840" s="6"/>
      <c r="B840" s="3"/>
      <c r="C840" s="3"/>
      <c r="D840" s="3"/>
      <c r="E840" s="7"/>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spans="1:30" ht="14.4">
      <c r="A841" s="6"/>
      <c r="B841" s="3"/>
      <c r="C841" s="3"/>
      <c r="D841" s="3"/>
      <c r="E841" s="7"/>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spans="1:30" ht="14.4">
      <c r="A842" s="6"/>
      <c r="B842" s="3"/>
      <c r="C842" s="3"/>
      <c r="D842" s="3"/>
      <c r="E842" s="7"/>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spans="1:30" ht="14.4">
      <c r="A843" s="6"/>
      <c r="B843" s="3"/>
      <c r="C843" s="3"/>
      <c r="D843" s="3"/>
      <c r="E843" s="7"/>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spans="1:30" ht="14.4">
      <c r="A844" s="6"/>
      <c r="B844" s="3"/>
      <c r="C844" s="3"/>
      <c r="D844" s="3"/>
      <c r="E844" s="7"/>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spans="1:30" ht="14.4">
      <c r="A845" s="6"/>
      <c r="B845" s="3"/>
      <c r="C845" s="3"/>
      <c r="D845" s="3"/>
      <c r="E845" s="7"/>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spans="1:30" ht="14.4">
      <c r="A846" s="6"/>
      <c r="B846" s="3"/>
      <c r="C846" s="3"/>
      <c r="D846" s="3"/>
      <c r="E846" s="7"/>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spans="1:30" ht="14.4">
      <c r="A847" s="6"/>
      <c r="B847" s="3"/>
      <c r="C847" s="3"/>
      <c r="D847" s="3"/>
      <c r="E847" s="7"/>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spans="1:30" ht="14.4">
      <c r="A848" s="6"/>
      <c r="B848" s="3"/>
      <c r="C848" s="3"/>
      <c r="D848" s="3"/>
      <c r="E848" s="7"/>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spans="1:30" ht="14.4">
      <c r="A849" s="6"/>
      <c r="B849" s="3"/>
      <c r="C849" s="3"/>
      <c r="D849" s="3"/>
      <c r="E849" s="7"/>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spans="1:30" ht="14.4">
      <c r="A850" s="6"/>
      <c r="B850" s="3"/>
      <c r="C850" s="3"/>
      <c r="D850" s="3"/>
      <c r="E850" s="7"/>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spans="1:30" ht="14.4">
      <c r="A851" s="6"/>
      <c r="B851" s="3"/>
      <c r="C851" s="3"/>
      <c r="D851" s="3"/>
      <c r="E851" s="7"/>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spans="1:30" ht="14.4">
      <c r="A852" s="6"/>
      <c r="B852" s="3"/>
      <c r="C852" s="3"/>
      <c r="D852" s="3"/>
      <c r="E852" s="7"/>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spans="1:30" ht="14.4">
      <c r="A853" s="6"/>
      <c r="B853" s="3"/>
      <c r="C853" s="3"/>
      <c r="D853" s="3"/>
      <c r="E853" s="7"/>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spans="1:30" ht="14.4">
      <c r="A854" s="6"/>
      <c r="B854" s="3"/>
      <c r="C854" s="3"/>
      <c r="D854" s="3"/>
      <c r="E854" s="7"/>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spans="1:30" ht="14.4">
      <c r="A855" s="6"/>
      <c r="B855" s="3"/>
      <c r="C855" s="3"/>
      <c r="D855" s="3"/>
      <c r="E855" s="7"/>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spans="1:30" ht="14.4">
      <c r="A856" s="6"/>
      <c r="B856" s="3"/>
      <c r="C856" s="3"/>
      <c r="D856" s="3"/>
      <c r="E856" s="7"/>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spans="1:30" ht="14.4">
      <c r="A857" s="6"/>
      <c r="B857" s="3"/>
      <c r="C857" s="3"/>
      <c r="D857" s="3"/>
      <c r="E857" s="7"/>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spans="1:30" ht="14.4">
      <c r="A858" s="6"/>
      <c r="B858" s="3"/>
      <c r="C858" s="3"/>
      <c r="D858" s="3"/>
      <c r="E858" s="7"/>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spans="1:30" ht="14.4">
      <c r="A859" s="6"/>
      <c r="B859" s="3"/>
      <c r="C859" s="3"/>
      <c r="D859" s="3"/>
      <c r="E859" s="7"/>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spans="1:30" ht="14.4">
      <c r="A860" s="6"/>
      <c r="B860" s="3"/>
      <c r="C860" s="3"/>
      <c r="D860" s="3"/>
      <c r="E860" s="7"/>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spans="1:30" ht="14.4">
      <c r="A861" s="6"/>
      <c r="B861" s="3"/>
      <c r="C861" s="3"/>
      <c r="D861" s="3"/>
      <c r="E861" s="7"/>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spans="1:30" ht="14.4">
      <c r="A862" s="6"/>
      <c r="B862" s="3"/>
      <c r="C862" s="3"/>
      <c r="D862" s="3"/>
      <c r="E862" s="7"/>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spans="1:30" ht="14.4">
      <c r="A863" s="6"/>
      <c r="B863" s="3"/>
      <c r="C863" s="3"/>
      <c r="D863" s="3"/>
      <c r="E863" s="7"/>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spans="1:30" ht="14.4">
      <c r="A864" s="6"/>
      <c r="B864" s="3"/>
      <c r="C864" s="3"/>
      <c r="D864" s="3"/>
      <c r="E864" s="7"/>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spans="1:30" ht="14.4">
      <c r="A865" s="6"/>
      <c r="B865" s="3"/>
      <c r="C865" s="3"/>
      <c r="D865" s="3"/>
      <c r="E865" s="7"/>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spans="1:30" ht="14.4">
      <c r="A866" s="6"/>
      <c r="B866" s="3"/>
      <c r="C866" s="3"/>
      <c r="D866" s="3"/>
      <c r="E866" s="7"/>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spans="1:30" ht="14.4">
      <c r="A867" s="6"/>
      <c r="B867" s="3"/>
      <c r="C867" s="3"/>
      <c r="D867" s="3"/>
      <c r="E867" s="7"/>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spans="1:30" ht="14.4">
      <c r="A868" s="6"/>
      <c r="B868" s="3"/>
      <c r="C868" s="3"/>
      <c r="D868" s="3"/>
      <c r="E868" s="7"/>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spans="1:30" ht="14.4">
      <c r="A869" s="6"/>
      <c r="B869" s="3"/>
      <c r="C869" s="3"/>
      <c r="D869" s="3"/>
      <c r="E869" s="7"/>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spans="1:30" ht="14.4">
      <c r="A870" s="6"/>
      <c r="B870" s="3"/>
      <c r="C870" s="3"/>
      <c r="D870" s="3"/>
      <c r="E870" s="7"/>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spans="1:30" ht="14.4">
      <c r="A871" s="6"/>
      <c r="B871" s="3"/>
      <c r="C871" s="3"/>
      <c r="D871" s="3"/>
      <c r="E871" s="7"/>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spans="1:30" ht="14.4">
      <c r="A872" s="6"/>
      <c r="B872" s="3"/>
      <c r="C872" s="3"/>
      <c r="D872" s="3"/>
      <c r="E872" s="7"/>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spans="1:30" ht="14.4">
      <c r="A873" s="6"/>
      <c r="B873" s="3"/>
      <c r="C873" s="3"/>
      <c r="D873" s="3"/>
      <c r="E873" s="7"/>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spans="1:30" ht="14.4">
      <c r="A874" s="6"/>
      <c r="B874" s="3"/>
      <c r="C874" s="3"/>
      <c r="D874" s="3"/>
      <c r="E874" s="7"/>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spans="1:30" ht="14.4">
      <c r="A875" s="6"/>
      <c r="B875" s="3"/>
      <c r="C875" s="3"/>
      <c r="D875" s="3"/>
      <c r="E875" s="7"/>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spans="1:30" ht="14.4">
      <c r="A876" s="6"/>
      <c r="B876" s="3"/>
      <c r="C876" s="3"/>
      <c r="D876" s="3"/>
      <c r="E876" s="7"/>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spans="1:30" ht="14.4">
      <c r="A877" s="6"/>
      <c r="B877" s="3"/>
      <c r="C877" s="3"/>
      <c r="D877" s="3"/>
      <c r="E877" s="7"/>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spans="1:30" ht="14.4">
      <c r="A878" s="6"/>
      <c r="B878" s="3"/>
      <c r="C878" s="3"/>
      <c r="D878" s="3"/>
      <c r="E878" s="7"/>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spans="1:30" ht="14.4">
      <c r="A879" s="6"/>
      <c r="B879" s="3"/>
      <c r="C879" s="3"/>
      <c r="D879" s="3"/>
      <c r="E879" s="7"/>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spans="1:30" ht="14.4">
      <c r="A880" s="6"/>
      <c r="B880" s="3"/>
      <c r="C880" s="3"/>
      <c r="D880" s="3"/>
      <c r="E880" s="7"/>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spans="1:30" ht="14.4">
      <c r="A881" s="6"/>
      <c r="B881" s="3"/>
      <c r="C881" s="3"/>
      <c r="D881" s="3"/>
      <c r="E881" s="7"/>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spans="1:30" ht="14.4">
      <c r="A882" s="6"/>
      <c r="B882" s="3"/>
      <c r="C882" s="3"/>
      <c r="D882" s="3"/>
      <c r="E882" s="7"/>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spans="1:30" ht="14.4">
      <c r="A883" s="6"/>
      <c r="B883" s="3"/>
      <c r="C883" s="3"/>
      <c r="D883" s="3"/>
      <c r="E883" s="7"/>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spans="1:30" ht="14.4">
      <c r="A884" s="6"/>
      <c r="B884" s="3"/>
      <c r="C884" s="3"/>
      <c r="D884" s="3"/>
      <c r="E884" s="7"/>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spans="1:30" ht="14.4">
      <c r="A885" s="6"/>
      <c r="B885" s="3"/>
      <c r="C885" s="3"/>
      <c r="D885" s="3"/>
      <c r="E885" s="7"/>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spans="1:30" ht="14.4">
      <c r="A886" s="6"/>
      <c r="B886" s="3"/>
      <c r="C886" s="3"/>
      <c r="D886" s="3"/>
      <c r="E886" s="7"/>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spans="1:30" ht="14.4">
      <c r="A887" s="6"/>
      <c r="B887" s="3"/>
      <c r="C887" s="3"/>
      <c r="D887" s="3"/>
      <c r="E887" s="7"/>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spans="1:30" ht="14.4">
      <c r="A888" s="6"/>
      <c r="B888" s="3"/>
      <c r="C888" s="3"/>
      <c r="D888" s="3"/>
      <c r="E888" s="7"/>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spans="1:30" ht="14.4">
      <c r="A889" s="6"/>
      <c r="B889" s="3"/>
      <c r="C889" s="3"/>
      <c r="D889" s="3"/>
      <c r="E889" s="7"/>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spans="1:30" ht="14.4">
      <c r="A890" s="6"/>
      <c r="B890" s="3"/>
      <c r="C890" s="3"/>
      <c r="D890" s="3"/>
      <c r="E890" s="7"/>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spans="1:30" ht="14.4">
      <c r="A891" s="6"/>
      <c r="B891" s="3"/>
      <c r="C891" s="3"/>
      <c r="D891" s="3"/>
      <c r="E891" s="7"/>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spans="1:30" ht="14.4">
      <c r="A892" s="6"/>
      <c r="B892" s="3"/>
      <c r="C892" s="3"/>
      <c r="D892" s="3"/>
      <c r="E892" s="7"/>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spans="1:30" ht="14.4">
      <c r="A893" s="6"/>
      <c r="B893" s="3"/>
      <c r="C893" s="3"/>
      <c r="D893" s="3"/>
      <c r="E893" s="7"/>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spans="1:30" ht="14.4">
      <c r="A894" s="6"/>
      <c r="B894" s="3"/>
      <c r="C894" s="3"/>
      <c r="D894" s="3"/>
      <c r="E894" s="7"/>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spans="1:30" ht="14.4">
      <c r="A895" s="6"/>
      <c r="B895" s="3"/>
      <c r="C895" s="3"/>
      <c r="D895" s="3"/>
      <c r="E895" s="7"/>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spans="1:30" ht="14.4">
      <c r="A896" s="6"/>
      <c r="B896" s="3"/>
      <c r="C896" s="3"/>
      <c r="D896" s="3"/>
      <c r="E896" s="7"/>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spans="1:30" ht="14.4">
      <c r="A897" s="6"/>
      <c r="B897" s="3"/>
      <c r="C897" s="3"/>
      <c r="D897" s="3"/>
      <c r="E897" s="7"/>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spans="1:30" ht="14.4">
      <c r="A898" s="6"/>
      <c r="B898" s="3"/>
      <c r="C898" s="3"/>
      <c r="D898" s="3"/>
      <c r="E898" s="7"/>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spans="1:30" ht="14.4">
      <c r="A899" s="6"/>
      <c r="B899" s="3"/>
      <c r="C899" s="3"/>
      <c r="D899" s="3"/>
      <c r="E899" s="7"/>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spans="1:30" ht="14.4">
      <c r="A900" s="6"/>
      <c r="B900" s="3"/>
      <c r="C900" s="3"/>
      <c r="D900" s="3"/>
      <c r="E900" s="7"/>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spans="1:30" ht="14.4">
      <c r="A901" s="6"/>
      <c r="B901" s="3"/>
      <c r="C901" s="3"/>
      <c r="D901" s="3"/>
      <c r="E901" s="7"/>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spans="1:30" ht="14.4">
      <c r="A902" s="6"/>
      <c r="B902" s="3"/>
      <c r="C902" s="3"/>
      <c r="D902" s="3"/>
      <c r="E902" s="7"/>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spans="1:30" ht="14.4">
      <c r="A903" s="6"/>
      <c r="B903" s="3"/>
      <c r="C903" s="3"/>
      <c r="D903" s="3"/>
      <c r="E903" s="7"/>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spans="1:30" ht="14.4">
      <c r="A904" s="6"/>
      <c r="B904" s="3"/>
      <c r="C904" s="3"/>
      <c r="D904" s="3"/>
      <c r="E904" s="7"/>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spans="1:30" ht="14.4">
      <c r="A905" s="6"/>
      <c r="B905" s="3"/>
      <c r="C905" s="3"/>
      <c r="D905" s="3"/>
      <c r="E905" s="7"/>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spans="1:30" ht="14.4">
      <c r="A906" s="6"/>
      <c r="B906" s="3"/>
      <c r="C906" s="3"/>
      <c r="D906" s="3"/>
      <c r="E906" s="7"/>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spans="1:30" ht="14.4">
      <c r="A907" s="6"/>
      <c r="B907" s="3"/>
      <c r="C907" s="3"/>
      <c r="D907" s="3"/>
      <c r="E907" s="7"/>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spans="1:30" ht="14.4">
      <c r="A908" s="6"/>
      <c r="B908" s="3"/>
      <c r="C908" s="3"/>
      <c r="D908" s="3"/>
      <c r="E908" s="7"/>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spans="1:30" ht="14.4">
      <c r="A909" s="6"/>
      <c r="B909" s="3"/>
      <c r="C909" s="3"/>
      <c r="D909" s="3"/>
      <c r="E909" s="7"/>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spans="1:30" ht="14.4">
      <c r="A910" s="6"/>
      <c r="B910" s="3"/>
      <c r="C910" s="3"/>
      <c r="D910" s="3"/>
      <c r="E910" s="7"/>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spans="1:30" ht="14.4">
      <c r="A911" s="6"/>
      <c r="B911" s="3"/>
      <c r="C911" s="3"/>
      <c r="D911" s="3"/>
      <c r="E911" s="7"/>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spans="1:30" ht="14.4">
      <c r="A912" s="6"/>
      <c r="B912" s="3"/>
      <c r="C912" s="3"/>
      <c r="D912" s="3"/>
      <c r="E912" s="7"/>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spans="1:30" ht="14.4">
      <c r="A913" s="6"/>
      <c r="B913" s="3"/>
      <c r="C913" s="3"/>
      <c r="D913" s="3"/>
      <c r="E913" s="7"/>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spans="1:30" ht="14.4">
      <c r="A914" s="6"/>
      <c r="B914" s="3"/>
      <c r="C914" s="3"/>
      <c r="D914" s="3"/>
      <c r="E914" s="7"/>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spans="1:30" ht="14.4">
      <c r="A915" s="6"/>
      <c r="B915" s="3"/>
      <c r="C915" s="3"/>
      <c r="D915" s="3"/>
      <c r="E915" s="7"/>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spans="1:30" ht="14.4">
      <c r="A916" s="6"/>
      <c r="B916" s="3"/>
      <c r="C916" s="3"/>
      <c r="D916" s="3"/>
      <c r="E916" s="7"/>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spans="1:30" ht="14.4">
      <c r="A917" s="6"/>
      <c r="B917" s="3"/>
      <c r="C917" s="3"/>
      <c r="D917" s="3"/>
      <c r="E917" s="7"/>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spans="1:30" ht="14.4">
      <c r="A918" s="6"/>
      <c r="B918" s="3"/>
      <c r="C918" s="3"/>
      <c r="D918" s="3"/>
      <c r="E918" s="7"/>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spans="1:30" ht="14.4">
      <c r="A919" s="6"/>
      <c r="B919" s="3"/>
      <c r="C919" s="3"/>
      <c r="D919" s="3"/>
      <c r="E919" s="7"/>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spans="1:30" ht="14.4">
      <c r="A920" s="6"/>
      <c r="B920" s="3"/>
      <c r="C920" s="3"/>
      <c r="D920" s="3"/>
      <c r="E920" s="7"/>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spans="1:30" ht="14.4">
      <c r="A921" s="6"/>
      <c r="B921" s="3"/>
      <c r="C921" s="3"/>
      <c r="D921" s="3"/>
      <c r="E921" s="7"/>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spans="1:30" ht="14.4">
      <c r="A922" s="6"/>
      <c r="B922" s="3"/>
      <c r="C922" s="3"/>
      <c r="D922" s="3"/>
      <c r="E922" s="7"/>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spans="1:30" ht="14.4">
      <c r="A923" s="6"/>
      <c r="B923" s="3"/>
      <c r="C923" s="3"/>
      <c r="D923" s="3"/>
      <c r="E923" s="7"/>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spans="1:30" ht="14.4">
      <c r="A924" s="6"/>
      <c r="B924" s="3"/>
      <c r="C924" s="3"/>
      <c r="D924" s="3"/>
      <c r="E924" s="7"/>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spans="1:30" ht="14.4">
      <c r="A925" s="6"/>
      <c r="B925" s="3"/>
      <c r="C925" s="3"/>
      <c r="D925" s="3"/>
      <c r="E925" s="7"/>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spans="1:30" ht="14.4">
      <c r="A926" s="6"/>
      <c r="B926" s="3"/>
      <c r="C926" s="3"/>
      <c r="D926" s="3"/>
      <c r="E926" s="7"/>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spans="1:30" ht="14.4">
      <c r="A927" s="6"/>
      <c r="B927" s="3"/>
      <c r="C927" s="3"/>
      <c r="D927" s="3"/>
      <c r="E927" s="7"/>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spans="1:30" ht="14.4">
      <c r="A928" s="6"/>
      <c r="B928" s="3"/>
      <c r="C928" s="3"/>
      <c r="D928" s="3"/>
      <c r="E928" s="7"/>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spans="1:30" ht="14.4">
      <c r="A929" s="6"/>
      <c r="B929" s="3"/>
      <c r="C929" s="3"/>
      <c r="D929" s="3"/>
      <c r="E929" s="7"/>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spans="1:30" ht="14.4">
      <c r="A930" s="6"/>
      <c r="B930" s="3"/>
      <c r="C930" s="3"/>
      <c r="D930" s="3"/>
      <c r="E930" s="7"/>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spans="1:30" ht="14.4">
      <c r="A931" s="6"/>
      <c r="B931" s="3"/>
      <c r="C931" s="3"/>
      <c r="D931" s="3"/>
      <c r="E931" s="7"/>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spans="1:30" ht="14.4">
      <c r="A932" s="6"/>
      <c r="B932" s="3"/>
      <c r="C932" s="3"/>
      <c r="D932" s="3"/>
      <c r="E932" s="7"/>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spans="1:30" ht="14.4">
      <c r="A933" s="6"/>
      <c r="B933" s="3"/>
      <c r="C933" s="3"/>
      <c r="D933" s="3"/>
      <c r="E933" s="7"/>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spans="1:30" ht="14.4">
      <c r="A934" s="6"/>
      <c r="B934" s="3"/>
      <c r="C934" s="3"/>
      <c r="D934" s="3"/>
      <c r="E934" s="7"/>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spans="1:30" ht="14.4">
      <c r="A935" s="6"/>
      <c r="B935" s="3"/>
      <c r="C935" s="3"/>
      <c r="D935" s="3"/>
      <c r="E935" s="7"/>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spans="1:30" ht="14.4">
      <c r="A936" s="6"/>
      <c r="B936" s="3"/>
      <c r="C936" s="3"/>
      <c r="D936" s="3"/>
      <c r="E936" s="7"/>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spans="1:30" ht="14.4">
      <c r="A937" s="6"/>
      <c r="B937" s="3"/>
      <c r="C937" s="3"/>
      <c r="D937" s="3"/>
      <c r="E937" s="7"/>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spans="1:30" ht="14.4">
      <c r="A938" s="6"/>
      <c r="B938" s="3"/>
      <c r="C938" s="3"/>
      <c r="D938" s="3"/>
      <c r="E938" s="7"/>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spans="1:30" ht="14.4">
      <c r="A939" s="6"/>
      <c r="B939" s="3"/>
      <c r="C939" s="3"/>
      <c r="D939" s="3"/>
      <c r="E939" s="7"/>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spans="1:30" ht="14.4">
      <c r="A940" s="6"/>
      <c r="B940" s="3"/>
      <c r="C940" s="3"/>
      <c r="D940" s="3"/>
      <c r="E940" s="7"/>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spans="1:30" ht="14.4">
      <c r="A941" s="6"/>
      <c r="B941" s="3"/>
      <c r="C941" s="3"/>
      <c r="D941" s="3"/>
      <c r="E941" s="7"/>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spans="1:30" ht="14.4">
      <c r="A942" s="6"/>
      <c r="B942" s="3"/>
      <c r="C942" s="3"/>
      <c r="D942" s="3"/>
      <c r="E942" s="7"/>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spans="1:30" ht="14.4">
      <c r="A943" s="6"/>
      <c r="B943" s="3"/>
      <c r="C943" s="3"/>
      <c r="D943" s="3"/>
      <c r="E943" s="7"/>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spans="1:30" ht="14.4">
      <c r="A944" s="6"/>
      <c r="B944" s="3"/>
      <c r="C944" s="3"/>
      <c r="D944" s="3"/>
      <c r="E944" s="7"/>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spans="1:30" ht="14.4">
      <c r="A945" s="6"/>
      <c r="B945" s="3"/>
      <c r="C945" s="3"/>
      <c r="D945" s="3"/>
      <c r="E945" s="7"/>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spans="1:30" ht="14.4">
      <c r="A946" s="6"/>
      <c r="B946" s="3"/>
      <c r="C946" s="3"/>
      <c r="D946" s="3"/>
      <c r="E946" s="7"/>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spans="1:30" ht="14.4">
      <c r="A947" s="6"/>
      <c r="B947" s="3"/>
      <c r="C947" s="3"/>
      <c r="D947" s="3"/>
      <c r="E947" s="7"/>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spans="1:30" ht="14.4">
      <c r="A948" s="6"/>
      <c r="B948" s="3"/>
      <c r="C948" s="3"/>
      <c r="D948" s="3"/>
      <c r="E948" s="7"/>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spans="1:30" ht="14.4">
      <c r="A949" s="6"/>
      <c r="B949" s="3"/>
      <c r="C949" s="3"/>
      <c r="D949" s="3"/>
      <c r="E949" s="7"/>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spans="1:30" ht="14.4">
      <c r="A950" s="6"/>
      <c r="B950" s="3"/>
      <c r="C950" s="3"/>
      <c r="D950" s="3"/>
      <c r="E950" s="7"/>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spans="1:30" ht="14.4">
      <c r="A951" s="6"/>
      <c r="B951" s="3"/>
      <c r="C951" s="3"/>
      <c r="D951" s="3"/>
      <c r="E951" s="7"/>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spans="1:30" ht="14.4">
      <c r="A952" s="6"/>
      <c r="B952" s="3"/>
      <c r="C952" s="3"/>
      <c r="D952" s="3"/>
      <c r="E952" s="7"/>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spans="1:30" ht="14.4">
      <c r="A953" s="6"/>
      <c r="B953" s="3"/>
      <c r="C953" s="3"/>
      <c r="D953" s="3"/>
      <c r="E953" s="7"/>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spans="1:30" ht="14.4">
      <c r="A954" s="6"/>
      <c r="B954" s="3"/>
      <c r="C954" s="3"/>
      <c r="D954" s="3"/>
      <c r="E954" s="7"/>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spans="1:30" ht="14.4">
      <c r="A955" s="6"/>
      <c r="B955" s="3"/>
      <c r="C955" s="3"/>
      <c r="D955" s="3"/>
      <c r="E955" s="7"/>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spans="1:30" ht="14.4">
      <c r="A956" s="6"/>
      <c r="B956" s="3"/>
      <c r="C956" s="3"/>
      <c r="D956" s="3"/>
      <c r="E956" s="7"/>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spans="1:30" ht="14.4">
      <c r="A957" s="6"/>
      <c r="B957" s="3"/>
      <c r="C957" s="3"/>
      <c r="D957" s="3"/>
      <c r="E957" s="7"/>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spans="1:30" ht="14.4">
      <c r="A958" s="6"/>
      <c r="B958" s="3"/>
      <c r="C958" s="3"/>
      <c r="D958" s="3"/>
      <c r="E958" s="7"/>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spans="1:30" ht="14.4">
      <c r="A959" s="6"/>
      <c r="B959" s="3"/>
      <c r="C959" s="3"/>
      <c r="D959" s="3"/>
      <c r="E959" s="7"/>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spans="1:30" ht="14.4">
      <c r="A960" s="6"/>
      <c r="B960" s="3"/>
      <c r="C960" s="3"/>
      <c r="D960" s="3"/>
      <c r="E960" s="7"/>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spans="1:30" ht="14.4">
      <c r="A961" s="6"/>
      <c r="B961" s="3"/>
      <c r="C961" s="3"/>
      <c r="D961" s="3"/>
      <c r="E961" s="7"/>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spans="1:30" ht="14.4">
      <c r="A962" s="6"/>
      <c r="B962" s="3"/>
      <c r="C962" s="3"/>
      <c r="D962" s="3"/>
      <c r="E962" s="7"/>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spans="1:30" ht="14.4">
      <c r="A963" s="6"/>
      <c r="B963" s="3"/>
      <c r="C963" s="3"/>
      <c r="D963" s="3"/>
      <c r="E963" s="7"/>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spans="1:30" ht="14.4">
      <c r="A964" s="6"/>
      <c r="B964" s="3"/>
      <c r="C964" s="3"/>
      <c r="D964" s="3"/>
      <c r="E964" s="7"/>
      <c r="G964" s="3"/>
      <c r="H964" s="3"/>
      <c r="I964" s="3"/>
      <c r="J964" s="3"/>
      <c r="K964" s="3"/>
      <c r="L964" s="3"/>
      <c r="M964" s="3"/>
      <c r="N964" s="3"/>
      <c r="O964" s="3"/>
      <c r="P964" s="3"/>
      <c r="Q964" s="3"/>
      <c r="R964" s="3"/>
      <c r="S964" s="3"/>
      <c r="T964" s="3"/>
      <c r="U964" s="3"/>
      <c r="V964" s="3"/>
      <c r="W964" s="3"/>
      <c r="X964" s="3"/>
      <c r="Y964" s="3"/>
      <c r="Z964" s="3"/>
      <c r="AA964" s="3"/>
      <c r="AB964" s="3"/>
      <c r="AC964" s="3"/>
      <c r="AD964" s="3"/>
    </row>
  </sheetData>
  <autoFilter ref="D1:D964" xr:uid="{00000000-0009-0000-0000-000000000000}"/>
  <sortState xmlns:xlrd2="http://schemas.microsoft.com/office/spreadsheetml/2017/richdata2" ref="B2:M8">
    <sortCondition ref="C2:C8"/>
  </sortState>
  <mergeCells count="5">
    <mergeCell ref="A42:A44"/>
    <mergeCell ref="A11:A17"/>
    <mergeCell ref="A38:A40"/>
    <mergeCell ref="A29:A33"/>
    <mergeCell ref="A2:A8"/>
  </mergeCells>
  <conditionalFormatting sqref="E1">
    <cfRule type="expression" dxfId="65" priority="25">
      <formula>COUNTIF(D:D,H1)&gt;1</formula>
    </cfRule>
  </conditionalFormatting>
  <conditionalFormatting sqref="G41 H37">
    <cfRule type="expression" dxfId="64" priority="17">
      <formula>COUNTIF(G:G,G37)&gt;1</formula>
    </cfRule>
  </conditionalFormatting>
  <conditionalFormatting sqref="B12:B17">
    <cfRule type="duplicateValues" dxfId="63" priority="14"/>
  </conditionalFormatting>
  <conditionalFormatting sqref="F15:F17">
    <cfRule type="expression" dxfId="62" priority="13">
      <formula>COUNTIF(G:G,G15)&gt;1</formula>
    </cfRule>
  </conditionalFormatting>
  <conditionalFormatting sqref="H20:H21">
    <cfRule type="duplicateValues" dxfId="61" priority="9"/>
  </conditionalFormatting>
  <conditionalFormatting sqref="H22">
    <cfRule type="duplicateValues" dxfId="60" priority="8"/>
  </conditionalFormatting>
  <conditionalFormatting sqref="B29:B30">
    <cfRule type="duplicateValues" dxfId="59" priority="6"/>
  </conditionalFormatting>
  <conditionalFormatting sqref="B43 B45:B47">
    <cfRule type="duplicateValues" dxfId="58" priority="346"/>
  </conditionalFormatting>
  <conditionalFormatting sqref="B36">
    <cfRule type="duplicateValues" dxfId="57" priority="3"/>
  </conditionalFormatting>
  <conditionalFormatting sqref="D49 B49">
    <cfRule type="expression" dxfId="56" priority="2">
      <formula>COUNTIF(B:B,B49)&gt;1</formula>
    </cfRule>
  </conditionalFormatting>
  <conditionalFormatting sqref="B1:B1048576">
    <cfRule type="duplicateValues" dxfId="55" priority="1"/>
  </conditionalFormatting>
  <conditionalFormatting sqref="B2:B8">
    <cfRule type="duplicateValues" dxfId="54" priority="588"/>
  </conditionalFormatting>
  <conditionalFormatting sqref="B1">
    <cfRule type="expression" dxfId="53" priority="623">
      <formula>COUNTIF($B$2:$B$955,$B2)&gt;1</formula>
    </cfRule>
  </conditionalFormatting>
  <dataValidations count="1">
    <dataValidation type="list" allowBlank="1" showErrorMessage="1" sqref="C41:C42 F6 F7 E45:E46 G11 H14:H16 H29 H36 D37" xr:uid="{8E852192-A641-49C9-ACBF-F637A9305B1F}">
      <formula1>"YES,NO"</formula1>
    </dataValidation>
  </dataValidations>
  <hyperlinks>
    <hyperlink ref="E15" r:id="rId1" xr:uid="{B59B1CD7-9CB5-4529-AD80-06E4A367BAF5}"/>
    <hyperlink ref="E16" r:id="rId2" xr:uid="{6FE3CA91-1378-4D74-B612-B6C1F11A5DF5}"/>
    <hyperlink ref="E17" r:id="rId3" xr:uid="{14C460F0-93B8-4881-A75C-E94E25FF1A09}"/>
    <hyperlink ref="E31" r:id="rId4" xr:uid="{B1467658-3F30-43FB-A02B-3F827610D08A}"/>
    <hyperlink ref="E32" r:id="rId5" xr:uid="{FECC20A0-35C0-42B1-8B66-0B24017AA1CE}"/>
    <hyperlink ref="E33" r:id="rId6" xr:uid="{EFA0D94B-C909-4312-ADFA-A55AE4C68240}"/>
    <hyperlink ref="E36" r:id="rId7" xr:uid="{2CE9576F-A57B-4E99-A58B-7128915BB1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3C8D-D51B-44AF-B13E-FF9381D98E4D}">
  <dimension ref="A1:H244"/>
  <sheetViews>
    <sheetView topLeftCell="A256" workbookViewId="0">
      <selection activeCell="F66" sqref="F66:H66"/>
    </sheetView>
  </sheetViews>
  <sheetFormatPr defaultRowHeight="13.2"/>
  <cols>
    <col min="1" max="1" width="19.109375" style="22" customWidth="1"/>
    <col min="2" max="2" width="41.44140625" style="90" customWidth="1"/>
    <col min="3" max="3" width="14.6640625" customWidth="1"/>
    <col min="4" max="4" width="6.88671875" customWidth="1"/>
  </cols>
  <sheetData>
    <row r="1" spans="1:4">
      <c r="A1" s="19" t="s">
        <v>902</v>
      </c>
      <c r="B1" s="89" t="s">
        <v>1</v>
      </c>
      <c r="C1" s="19" t="s">
        <v>4</v>
      </c>
      <c r="D1" s="22" t="s">
        <v>2</v>
      </c>
    </row>
    <row r="2" spans="1:4">
      <c r="A2" s="22" t="s">
        <v>903</v>
      </c>
      <c r="B2" s="90" t="s">
        <v>95</v>
      </c>
      <c r="C2" t="s">
        <v>96</v>
      </c>
      <c r="D2" s="23" t="str">
        <f ca="1">IF(C2&lt;&gt;"","IX"&amp;COUNTIF(C$2:$D2,"&lt;&gt;"),"")</f>
        <v>IX1</v>
      </c>
    </row>
    <row r="3" spans="1:4">
      <c r="B3" s="90" t="s">
        <v>97</v>
      </c>
      <c r="C3" t="s">
        <v>98</v>
      </c>
      <c r="D3" s="23" t="str">
        <f ca="1">IF(C3&lt;&gt;"","IX"&amp;COUNTIF(C$2:$D3,"&lt;&gt;"),"")</f>
        <v>IX2</v>
      </c>
    </row>
    <row r="4" spans="1:4">
      <c r="B4" s="90" t="s">
        <v>99</v>
      </c>
      <c r="C4" t="s">
        <v>100</v>
      </c>
      <c r="D4" s="23" t="str">
        <f ca="1">IF(C4&lt;&gt;"","IX"&amp;COUNTIF(C$2:$D4,"&lt;&gt;"),"")</f>
        <v>IX3</v>
      </c>
    </row>
    <row r="5" spans="1:4">
      <c r="B5" s="90" t="s">
        <v>101</v>
      </c>
      <c r="C5" t="s">
        <v>102</v>
      </c>
      <c r="D5" s="23" t="str">
        <f ca="1">IF(C5&lt;&gt;"","IX"&amp;COUNTIF(C$2:$D5,"&lt;&gt;"),"")</f>
        <v>IX4</v>
      </c>
    </row>
    <row r="6" spans="1:4">
      <c r="B6" s="90" t="s">
        <v>103</v>
      </c>
      <c r="C6" t="s">
        <v>104</v>
      </c>
      <c r="D6" s="23" t="str">
        <f ca="1">IF(C6&lt;&gt;"","IX"&amp;COUNTIF(C$2:$D6,"&lt;&gt;"),"")</f>
        <v>IX5</v>
      </c>
    </row>
    <row r="7" spans="1:4">
      <c r="B7" s="90" t="s">
        <v>105</v>
      </c>
      <c r="C7" t="s">
        <v>106</v>
      </c>
      <c r="D7" s="23" t="str">
        <f ca="1">IF(C7&lt;&gt;"","IX"&amp;COUNTIF(C$2:$D7,"&lt;&gt;"),"")</f>
        <v>IX6</v>
      </c>
    </row>
    <row r="8" spans="1:4">
      <c r="B8" s="90" t="s">
        <v>107</v>
      </c>
      <c r="C8" t="s">
        <v>108</v>
      </c>
      <c r="D8" s="23" t="str">
        <f ca="1">IF(C8&lt;&gt;"","IX"&amp;COUNTIF(C$2:$D8,"&lt;&gt;"),"")</f>
        <v>IX7</v>
      </c>
    </row>
    <row r="9" spans="1:4">
      <c r="B9" s="90" t="s">
        <v>109</v>
      </c>
      <c r="C9" t="s">
        <v>110</v>
      </c>
      <c r="D9" s="23" t="str">
        <f ca="1">IF(C9&lt;&gt;"","IX"&amp;COUNTIF(C$2:$D9,"&lt;&gt;"),"")</f>
        <v>IX8</v>
      </c>
    </row>
    <row r="10" spans="1:4">
      <c r="D10" s="23" t="str">
        <f>IF(C10&lt;&gt;"","IX"&amp;COUNTIF(C$2:$D10,"&lt;&gt;"),"")</f>
        <v/>
      </c>
    </row>
    <row r="11" spans="1:4">
      <c r="B11" s="90" t="s">
        <v>44</v>
      </c>
      <c r="C11" t="s">
        <v>45</v>
      </c>
      <c r="D11" s="23" t="str">
        <f ca="1">IF(C11&lt;&gt;"","IX"&amp;COUNTIF(C$2:$D11,"&lt;&gt;"),"")</f>
        <v>IX9</v>
      </c>
    </row>
    <row r="12" spans="1:4">
      <c r="B12" s="90" t="s">
        <v>46</v>
      </c>
      <c r="C12" t="s">
        <v>47</v>
      </c>
      <c r="D12" s="23" t="str">
        <f ca="1">IF(C12&lt;&gt;"","IX"&amp;COUNTIF(C$2:$D12,"&lt;&gt;"),"")</f>
        <v>IX10</v>
      </c>
    </row>
    <row r="13" spans="1:4">
      <c r="B13" s="90" t="s">
        <v>48</v>
      </c>
      <c r="C13" t="s">
        <v>49</v>
      </c>
      <c r="D13" s="23" t="str">
        <f ca="1">IF(C13&lt;&gt;"","IX"&amp;COUNTIF(C$2:$D13,"&lt;&gt;"),"")</f>
        <v>IX11</v>
      </c>
    </row>
    <row r="14" spans="1:4">
      <c r="B14" s="90" t="s">
        <v>50</v>
      </c>
      <c r="C14" t="s">
        <v>51</v>
      </c>
      <c r="D14" s="23" t="str">
        <f ca="1">IF(C14&lt;&gt;"","IX"&amp;COUNTIF(C$2:$D14,"&lt;&gt;"),"")</f>
        <v>IX12</v>
      </c>
    </row>
    <row r="15" spans="1:4">
      <c r="B15" s="90" t="s">
        <v>52</v>
      </c>
      <c r="C15" t="s">
        <v>53</v>
      </c>
      <c r="D15" s="23" t="str">
        <f ca="1">IF(C15&lt;&gt;"","IX"&amp;COUNTIF(C$2:$D15,"&lt;&gt;"),"")</f>
        <v>IX13</v>
      </c>
    </row>
    <row r="16" spans="1:4">
      <c r="B16" s="90" t="s">
        <v>54</v>
      </c>
      <c r="C16" t="s">
        <v>55</v>
      </c>
      <c r="D16" s="23" t="str">
        <f ca="1">IF(C16&lt;&gt;"","IX"&amp;COUNTIF(C$2:$D16,"&lt;&gt;"),"")</f>
        <v>IX14</v>
      </c>
    </row>
    <row r="17" spans="2:4">
      <c r="B17" s="90" t="s">
        <v>75</v>
      </c>
      <c r="C17" t="s">
        <v>76</v>
      </c>
      <c r="D17" s="23" t="str">
        <f ca="1">IF(C17&lt;&gt;"","IX"&amp;COUNTIF(C$2:$D17,"&lt;&gt;"),"")</f>
        <v>IX15</v>
      </c>
    </row>
    <row r="18" spans="2:4">
      <c r="B18" s="90" t="s">
        <v>78</v>
      </c>
      <c r="C18" t="s">
        <v>79</v>
      </c>
      <c r="D18" s="23" t="str">
        <f ca="1">IF(C18&lt;&gt;"","IX"&amp;COUNTIF(C$2:$D18,"&lt;&gt;"),"")</f>
        <v>IX16</v>
      </c>
    </row>
    <row r="19" spans="2:4">
      <c r="B19" s="90" t="s">
        <v>80</v>
      </c>
      <c r="C19" t="s">
        <v>81</v>
      </c>
      <c r="D19" s="23" t="str">
        <f ca="1">IF(C19&lt;&gt;"","IX"&amp;COUNTIF(C$2:$D19,"&lt;&gt;"),"")</f>
        <v>IX17</v>
      </c>
    </row>
    <row r="20" spans="2:4">
      <c r="B20" s="90" t="s">
        <v>82</v>
      </c>
      <c r="C20" t="s">
        <v>83</v>
      </c>
      <c r="D20" s="23" t="str">
        <f ca="1">IF(C20&lt;&gt;"","IX"&amp;COUNTIF(C$2:$D20,"&lt;&gt;"),"")</f>
        <v>IX18</v>
      </c>
    </row>
    <row r="21" spans="2:4">
      <c r="B21" s="91"/>
      <c r="C21" s="24"/>
      <c r="D21" s="23" t="str">
        <f>IF(C21&lt;&gt;"","IX"&amp;COUNTIF(C$2:$D21,"&lt;&gt;"),"")</f>
        <v/>
      </c>
    </row>
    <row r="22" spans="2:4">
      <c r="B22" s="90" t="s">
        <v>136</v>
      </c>
      <c r="C22" t="s">
        <v>137</v>
      </c>
      <c r="D22" s="23" t="str">
        <f ca="1">IF(C22&lt;&gt;"","IX"&amp;COUNTIF(C$2:$D22,"&lt;&gt;"),"")</f>
        <v>IX19</v>
      </c>
    </row>
    <row r="23" spans="2:4">
      <c r="B23" s="90" t="s">
        <v>138</v>
      </c>
      <c r="C23" t="s">
        <v>139</v>
      </c>
      <c r="D23" s="23" t="str">
        <f ca="1">IF(C23&lt;&gt;"","IX"&amp;COUNTIF(C$2:$D23,"&lt;&gt;"),"")</f>
        <v>IX20</v>
      </c>
    </row>
    <row r="24" spans="2:4">
      <c r="B24" s="90" t="s">
        <v>140</v>
      </c>
      <c r="C24" t="s">
        <v>141</v>
      </c>
      <c r="D24" s="23" t="str">
        <f ca="1">IF(C24&lt;&gt;"","IX"&amp;COUNTIF(C$2:$D24,"&lt;&gt;"),"")</f>
        <v>IX21</v>
      </c>
    </row>
    <row r="25" spans="2:4">
      <c r="B25" s="90" t="s">
        <v>142</v>
      </c>
      <c r="C25" t="s">
        <v>143</v>
      </c>
      <c r="D25" s="23" t="str">
        <f ca="1">IF(C25&lt;&gt;"","IX"&amp;COUNTIF(C$2:$D25,"&lt;&gt;"),"")</f>
        <v>IX22</v>
      </c>
    </row>
    <row r="26" spans="2:4">
      <c r="B26" s="90" t="s">
        <v>144</v>
      </c>
      <c r="C26" t="s">
        <v>145</v>
      </c>
      <c r="D26" s="23" t="str">
        <f ca="1">IF(C26&lt;&gt;"","IX"&amp;COUNTIF(C$2:$D26,"&lt;&gt;"),"")</f>
        <v>IX23</v>
      </c>
    </row>
    <row r="27" spans="2:4">
      <c r="B27" s="90" t="s">
        <v>146</v>
      </c>
      <c r="C27" t="s">
        <v>147</v>
      </c>
      <c r="D27" s="23" t="str">
        <f ca="1">IF(C27&lt;&gt;"","IX"&amp;COUNTIF(C$2:$D27,"&lt;&gt;"),"")</f>
        <v>IX24</v>
      </c>
    </row>
    <row r="28" spans="2:4">
      <c r="B28" s="90" t="s">
        <v>148</v>
      </c>
      <c r="C28" t="s">
        <v>149</v>
      </c>
      <c r="D28" s="23" t="str">
        <f ca="1">IF(C28&lt;&gt;"","IX"&amp;COUNTIF(C$2:$D28,"&lt;&gt;"),"")</f>
        <v>IX25</v>
      </c>
    </row>
    <row r="29" spans="2:4">
      <c r="B29" s="90" t="s">
        <v>171</v>
      </c>
      <c r="C29" t="s">
        <v>172</v>
      </c>
      <c r="D29" s="23" t="str">
        <f ca="1">IF(C29&lt;&gt;"","IX"&amp;COUNTIF(C$2:$D29,"&lt;&gt;"),"")</f>
        <v>IX26</v>
      </c>
    </row>
    <row r="30" spans="2:4">
      <c r="B30" s="90" t="s">
        <v>176</v>
      </c>
      <c r="C30" t="s">
        <v>177</v>
      </c>
      <c r="D30" s="23" t="str">
        <f ca="1">IF(C30&lt;&gt;"","IX"&amp;COUNTIF(C$2:$D30,"&lt;&gt;"),"")</f>
        <v>IX27</v>
      </c>
    </row>
    <row r="31" spans="2:4">
      <c r="B31" s="90" t="s">
        <v>181</v>
      </c>
      <c r="C31" t="s">
        <v>182</v>
      </c>
      <c r="D31" s="23" t="str">
        <f ca="1">IF(C31&lt;&gt;"","IX"&amp;COUNTIF(C$2:$D31,"&lt;&gt;"),"")</f>
        <v>IX28</v>
      </c>
    </row>
    <row r="32" spans="2:4">
      <c r="B32" s="90" t="s">
        <v>186</v>
      </c>
      <c r="C32" t="s">
        <v>187</v>
      </c>
      <c r="D32" s="23" t="str">
        <f ca="1">IF(C32&lt;&gt;"","IX"&amp;COUNTIF(C$2:$D32,"&lt;&gt;"),"")</f>
        <v>IX29</v>
      </c>
    </row>
    <row r="33" spans="2:4">
      <c r="B33" s="90" t="s">
        <v>191</v>
      </c>
      <c r="C33" t="s">
        <v>192</v>
      </c>
      <c r="D33" s="23" t="str">
        <f ca="1">IF(C33&lt;&gt;"","IX"&amp;COUNTIF(C$2:$D33,"&lt;&gt;"),"")</f>
        <v>IX30</v>
      </c>
    </row>
    <row r="34" spans="2:4">
      <c r="B34" s="90" t="s">
        <v>196</v>
      </c>
      <c r="C34" t="s">
        <v>197</v>
      </c>
      <c r="D34" s="23" t="str">
        <f ca="1">IF(C34&lt;&gt;"","IX"&amp;COUNTIF(C$2:$D34,"&lt;&gt;"),"")</f>
        <v>IX31</v>
      </c>
    </row>
    <row r="35" spans="2:4">
      <c r="B35" s="90" t="s">
        <v>201</v>
      </c>
      <c r="C35" t="s">
        <v>202</v>
      </c>
      <c r="D35" s="23" t="str">
        <f ca="1">IF(C35&lt;&gt;"","IX"&amp;COUNTIF(C$2:$D35,"&lt;&gt;"),"")</f>
        <v>IX32</v>
      </c>
    </row>
    <row r="36" spans="2:4">
      <c r="B36" s="92"/>
      <c r="C36" s="28"/>
      <c r="D36" s="23" t="str">
        <f>IF(C36&lt;&gt;"","IX"&amp;COUNTIF(C$2:$D36,"&lt;&gt;"),"")</f>
        <v/>
      </c>
    </row>
    <row r="37" spans="2:4">
      <c r="B37" s="90" t="s">
        <v>206</v>
      </c>
      <c r="C37" t="s">
        <v>207</v>
      </c>
      <c r="D37" s="23" t="str">
        <f ca="1">IF(C37&lt;&gt;"","IX"&amp;COUNTIF(C$2:$D37,"&lt;&gt;"),"")</f>
        <v>IX33</v>
      </c>
    </row>
    <row r="38" spans="2:4">
      <c r="B38" s="90" t="s">
        <v>208</v>
      </c>
      <c r="C38" t="s">
        <v>209</v>
      </c>
      <c r="D38" s="23" t="str">
        <f ca="1">IF(C38&lt;&gt;"","IX"&amp;COUNTIF(C$2:$D38,"&lt;&gt;"),"")</f>
        <v>IX34</v>
      </c>
    </row>
    <row r="39" spans="2:4">
      <c r="B39" s="90" t="s">
        <v>210</v>
      </c>
      <c r="C39" t="s">
        <v>211</v>
      </c>
      <c r="D39" s="23" t="str">
        <f ca="1">IF(C39&lt;&gt;"","IX"&amp;COUNTIF(C$2:$D39,"&lt;&gt;"),"")</f>
        <v>IX35</v>
      </c>
    </row>
    <row r="40" spans="2:4">
      <c r="B40" s="90" t="s">
        <v>212</v>
      </c>
      <c r="C40" t="s">
        <v>213</v>
      </c>
      <c r="D40" s="23" t="str">
        <f ca="1">IF(C40&lt;&gt;"","IX"&amp;COUNTIF(C$2:$D40,"&lt;&gt;"),"")</f>
        <v>IX36</v>
      </c>
    </row>
    <row r="41" spans="2:4">
      <c r="B41" s="90" t="s">
        <v>214</v>
      </c>
      <c r="C41" t="s">
        <v>215</v>
      </c>
      <c r="D41" s="23" t="str">
        <f ca="1">IF(C41&lt;&gt;"","IX"&amp;COUNTIF(C$2:$D41,"&lt;&gt;"),"")</f>
        <v>IX37</v>
      </c>
    </row>
    <row r="42" spans="2:4">
      <c r="B42" s="92"/>
      <c r="D42" s="23" t="str">
        <f>IF(C42&lt;&gt;"","IX"&amp;COUNTIF(C$2:$D42,"&lt;&gt;"),"")</f>
        <v/>
      </c>
    </row>
    <row r="43" spans="2:4">
      <c r="B43" s="90" t="s">
        <v>232</v>
      </c>
      <c r="C43" t="s">
        <v>233</v>
      </c>
      <c r="D43" s="23" t="str">
        <f ca="1">IF(C43&lt;&gt;"","IX"&amp;COUNTIF(C$2:$D43,"&lt;&gt;"),"")</f>
        <v>IX38</v>
      </c>
    </row>
    <row r="44" spans="2:4">
      <c r="B44" s="90" t="s">
        <v>236</v>
      </c>
      <c r="C44" t="s">
        <v>237</v>
      </c>
      <c r="D44" s="23" t="str">
        <f ca="1">IF(C44&lt;&gt;"","IX"&amp;COUNTIF(C$2:$D44,"&lt;&gt;"),"")</f>
        <v>IX39</v>
      </c>
    </row>
    <row r="45" spans="2:4">
      <c r="B45" s="90" t="s">
        <v>240</v>
      </c>
      <c r="C45" t="s">
        <v>241</v>
      </c>
      <c r="D45" s="23" t="str">
        <f ca="1">IF(C45&lt;&gt;"","IX"&amp;COUNTIF(C$2:$D45,"&lt;&gt;"),"")</f>
        <v>IX40</v>
      </c>
    </row>
    <row r="46" spans="2:4">
      <c r="B46" s="90" t="s">
        <v>244</v>
      </c>
      <c r="C46" t="s">
        <v>245</v>
      </c>
      <c r="D46" s="23" t="str">
        <f ca="1">IF(C46&lt;&gt;"","IX"&amp;COUNTIF(C$2:$D46,"&lt;&gt;"),"")</f>
        <v>IX41</v>
      </c>
    </row>
    <row r="47" spans="2:4">
      <c r="B47" s="90" t="s">
        <v>246</v>
      </c>
      <c r="C47" t="s">
        <v>247</v>
      </c>
      <c r="D47" s="23" t="str">
        <f ca="1">IF(C47&lt;&gt;"","IX"&amp;COUNTIF(C$2:$D47,"&lt;&gt;"),"")</f>
        <v>IX42</v>
      </c>
    </row>
    <row r="48" spans="2:4">
      <c r="B48" s="90" t="s">
        <v>252</v>
      </c>
      <c r="C48" t="s">
        <v>253</v>
      </c>
      <c r="D48" s="23" t="str">
        <f ca="1">IF(C48&lt;&gt;"","IX"&amp;COUNTIF(C$2:$D48,"&lt;&gt;"),"")</f>
        <v>IX43</v>
      </c>
    </row>
    <row r="49" spans="2:4">
      <c r="B49" s="91"/>
      <c r="C49" s="24"/>
      <c r="D49" s="23" t="str">
        <f>IF(C49&lt;&gt;"","IX"&amp;COUNTIF(C$2:$D49,"&lt;&gt;"),"")</f>
        <v/>
      </c>
    </row>
    <row r="50" spans="2:4">
      <c r="B50" s="90" t="s">
        <v>263</v>
      </c>
      <c r="C50" t="s">
        <v>264</v>
      </c>
      <c r="D50" s="23" t="str">
        <f ca="1">IF(C50&lt;&gt;"","IX"&amp;COUNTIF(C$2:$D50,"&lt;&gt;"),"")</f>
        <v>IX44</v>
      </c>
    </row>
    <row r="51" spans="2:4">
      <c r="B51" s="90" t="s">
        <v>265</v>
      </c>
      <c r="C51" t="s">
        <v>266</v>
      </c>
      <c r="D51" s="23" t="str">
        <f ca="1">IF(C51&lt;&gt;"","IX"&amp;COUNTIF(C$2:$D51,"&lt;&gt;"),"")</f>
        <v>IX45</v>
      </c>
    </row>
    <row r="52" spans="2:4">
      <c r="B52" s="90" t="s">
        <v>267</v>
      </c>
      <c r="C52" t="s">
        <v>268</v>
      </c>
      <c r="D52" s="23" t="str">
        <f ca="1">IF(C52&lt;&gt;"","IX"&amp;COUNTIF(C$2:$D52,"&lt;&gt;"),"")</f>
        <v>IX46</v>
      </c>
    </row>
    <row r="53" spans="2:4">
      <c r="B53" s="90" t="s">
        <v>269</v>
      </c>
      <c r="C53" t="s">
        <v>270</v>
      </c>
      <c r="D53" s="23" t="str">
        <f ca="1">IF(C53&lt;&gt;"","IX"&amp;COUNTIF(C$2:$D53,"&lt;&gt;"),"")</f>
        <v>IX47</v>
      </c>
    </row>
    <row r="54" spans="2:4">
      <c r="B54" s="90" t="s">
        <v>271</v>
      </c>
      <c r="C54" t="s">
        <v>272</v>
      </c>
      <c r="D54" s="23" t="str">
        <f ca="1">IF(C54&lt;&gt;"","IX"&amp;COUNTIF(C$2:$D54,"&lt;&gt;"),"")</f>
        <v>IX48</v>
      </c>
    </row>
    <row r="55" spans="2:4">
      <c r="B55" s="90" t="s">
        <v>273</v>
      </c>
      <c r="C55" t="s">
        <v>274</v>
      </c>
      <c r="D55" s="23" t="str">
        <f ca="1">IF(C55&lt;&gt;"","IX"&amp;COUNTIF(C$2:$D55,"&lt;&gt;"),"")</f>
        <v>IX49</v>
      </c>
    </row>
    <row r="56" spans="2:4">
      <c r="B56" s="90" t="s">
        <v>275</v>
      </c>
      <c r="C56" t="s">
        <v>276</v>
      </c>
      <c r="D56" s="23" t="str">
        <f ca="1">IF(C56&lt;&gt;"","IX"&amp;COUNTIF(C$2:$D56,"&lt;&gt;"),"")</f>
        <v>IX50</v>
      </c>
    </row>
    <row r="57" spans="2:4">
      <c r="D57" s="23"/>
    </row>
    <row r="58" spans="2:4" ht="13.8">
      <c r="B58" s="93" t="s">
        <v>332</v>
      </c>
      <c r="C58" s="59" t="s">
        <v>346</v>
      </c>
      <c r="D58" s="62" t="str">
        <f ca="1">IF(C58&lt;&gt;"","SL"&amp;COUNTIF(C$2:$D58,"&lt;&gt;"),"")</f>
        <v>SL10</v>
      </c>
    </row>
    <row r="59" spans="2:4" ht="13.8">
      <c r="B59" s="93" t="s">
        <v>301</v>
      </c>
      <c r="C59" s="59" t="s">
        <v>315</v>
      </c>
      <c r="D59" s="62" t="str">
        <f ca="1">IF(C59&lt;&gt;"","SL"&amp;COUNTIF(C$2:$D59,"&lt;&gt;"),"")</f>
        <v>SL2</v>
      </c>
    </row>
    <row r="60" spans="2:4" ht="13.8">
      <c r="B60" s="93" t="s">
        <v>302</v>
      </c>
      <c r="C60" s="59" t="s">
        <v>316</v>
      </c>
      <c r="D60" s="62" t="str">
        <f ca="1">IF(C60&lt;&gt;"","SL"&amp;COUNTIF(C$2:$D60,"&lt;&gt;"),"")</f>
        <v>SL3</v>
      </c>
    </row>
    <row r="61" spans="2:4" ht="13.8">
      <c r="B61" s="93" t="s">
        <v>303</v>
      </c>
      <c r="C61" s="59" t="s">
        <v>317</v>
      </c>
      <c r="D61" s="62" t="str">
        <f ca="1">IF(C61&lt;&gt;"","SL"&amp;COUNTIF(C$2:$D61,"&lt;&gt;"),"")</f>
        <v>SL4</v>
      </c>
    </row>
    <row r="62" spans="2:4" ht="13.8">
      <c r="B62" s="93" t="s">
        <v>304</v>
      </c>
      <c r="C62" s="59" t="s">
        <v>318</v>
      </c>
      <c r="D62" s="62" t="str">
        <f ca="1">IF(C62&lt;&gt;"","SL"&amp;COUNTIF(C$2:$D62,"&lt;&gt;"),"")</f>
        <v>SL5</v>
      </c>
    </row>
    <row r="63" spans="2:4" ht="13.8">
      <c r="B63" s="93" t="s">
        <v>305</v>
      </c>
      <c r="C63" s="59" t="s">
        <v>319</v>
      </c>
      <c r="D63" s="62" t="str">
        <f ca="1">IF(C63&lt;&gt;"","SL"&amp;COUNTIF(C$2:$D63,"&lt;&gt;"),"")</f>
        <v>SL6</v>
      </c>
    </row>
    <row r="64" spans="2:4" ht="13.8">
      <c r="B64" s="93" t="s">
        <v>306</v>
      </c>
      <c r="C64" s="59" t="s">
        <v>320</v>
      </c>
      <c r="D64" s="62" t="str">
        <f ca="1">IF(C64&lt;&gt;"","SL"&amp;COUNTIF(C$2:$D64,"&lt;&gt;"),"")</f>
        <v>SL7</v>
      </c>
    </row>
    <row r="65" spans="2:8" ht="13.8">
      <c r="B65" s="93"/>
      <c r="C65" s="63"/>
      <c r="D65" s="62" t="str">
        <f>IF(C65&lt;&gt;"","SL"&amp;COUNTIF(C$2:$D65,"&lt;&gt;"),"")</f>
        <v/>
      </c>
    </row>
    <row r="66" spans="2:8" ht="14.4">
      <c r="B66" s="95" t="s">
        <v>332</v>
      </c>
      <c r="C66" s="17" t="s">
        <v>346</v>
      </c>
      <c r="D66" s="62" t="str">
        <f ca="1">IF(C66&lt;&gt;"","SL"&amp;COUNTIF(C$2:$D66,"&lt;&gt;"),"")</f>
        <v>SL21</v>
      </c>
      <c r="F66" s="59"/>
      <c r="G66" s="59"/>
      <c r="H66" s="62"/>
    </row>
    <row r="67" spans="2:8" ht="13.8">
      <c r="B67" s="93" t="s">
        <v>330</v>
      </c>
      <c r="C67" s="59" t="s">
        <v>344</v>
      </c>
      <c r="D67" s="62" t="str">
        <f ca="1">IF(C67&lt;&gt;"","SL"&amp;COUNTIF(C$2:$D67,"&lt;&gt;"),"")</f>
        <v>SL9</v>
      </c>
    </row>
    <row r="68" spans="2:8" ht="14.4">
      <c r="B68" s="95" t="s">
        <v>749</v>
      </c>
      <c r="C68" s="17" t="s">
        <v>750</v>
      </c>
      <c r="D68" s="17" t="s">
        <v>969</v>
      </c>
    </row>
    <row r="69" spans="2:8" ht="14.4">
      <c r="B69" s="95" t="s">
        <v>749</v>
      </c>
      <c r="C69" s="17" t="s">
        <v>750</v>
      </c>
      <c r="D69" s="17" t="s">
        <v>976</v>
      </c>
    </row>
    <row r="70" spans="2:8" ht="14.4">
      <c r="B70" s="95" t="s">
        <v>795</v>
      </c>
      <c r="C70" s="17" t="s">
        <v>750</v>
      </c>
      <c r="D70" s="17" t="s">
        <v>980</v>
      </c>
    </row>
    <row r="71" spans="2:8" ht="13.8">
      <c r="B71" s="93" t="s">
        <v>335</v>
      </c>
      <c r="C71" s="59" t="s">
        <v>349</v>
      </c>
      <c r="D71" s="62" t="str">
        <f ca="1">IF(C71&lt;&gt;"","SL"&amp;COUNTIF(C$2:$D71,"&lt;&gt;"),"")</f>
        <v>SL13</v>
      </c>
    </row>
    <row r="72" spans="2:8" ht="13.8">
      <c r="B72" s="93" t="s">
        <v>336</v>
      </c>
      <c r="C72" s="59" t="s">
        <v>350</v>
      </c>
      <c r="D72" s="62" t="str">
        <f ca="1">IF(C72&lt;&gt;"","SL"&amp;COUNTIF(C$2:$D72,"&lt;&gt;"),"")</f>
        <v>SL14</v>
      </c>
    </row>
    <row r="73" spans="2:8" ht="13.8">
      <c r="B73" s="94"/>
      <c r="C73" s="63"/>
      <c r="D73" s="62" t="str">
        <f>IF(C73&lt;&gt;"","SL"&amp;COUNTIF(C$2:$D73,"&lt;&gt;"),"")</f>
        <v/>
      </c>
    </row>
    <row r="74" spans="2:8" ht="13.8">
      <c r="B74" s="93" t="s">
        <v>358</v>
      </c>
      <c r="C74" s="59" t="s">
        <v>366</v>
      </c>
      <c r="D74" s="62" t="str">
        <f ca="1">IF(C74&lt;&gt;"","SL"&amp;COUNTIF(C$2:$D74,"&lt;&gt;"),"")</f>
        <v>SL15</v>
      </c>
    </row>
    <row r="75" spans="2:8" ht="13.8">
      <c r="B75" s="93" t="s">
        <v>359</v>
      </c>
      <c r="C75" s="59" t="s">
        <v>367</v>
      </c>
      <c r="D75" s="62" t="str">
        <f ca="1">IF(C75&lt;&gt;"","SL"&amp;COUNTIF(C$2:$D75,"&lt;&gt;"),"")</f>
        <v>SL16</v>
      </c>
    </row>
    <row r="76" spans="2:8" ht="13.8">
      <c r="B76" s="93" t="s">
        <v>360</v>
      </c>
      <c r="C76" s="59" t="s">
        <v>368</v>
      </c>
      <c r="D76" s="62" t="str">
        <f ca="1">IF(C76&lt;&gt;"","SL"&amp;COUNTIF(C$2:$D76,"&lt;&gt;"),"")</f>
        <v>SL17</v>
      </c>
    </row>
    <row r="77" spans="2:8" ht="13.8">
      <c r="B77" s="93" t="s">
        <v>361</v>
      </c>
      <c r="C77" s="59" t="s">
        <v>369</v>
      </c>
      <c r="D77" s="62" t="str">
        <f ca="1">IF(C77&lt;&gt;"","SL"&amp;COUNTIF(C$2:$D77,"&lt;&gt;"),"")</f>
        <v>SL18</v>
      </c>
    </row>
    <row r="78" spans="2:8" ht="14.4">
      <c r="B78" s="95"/>
      <c r="C78" s="17"/>
      <c r="D78" s="62" t="str">
        <f>IF(C78&lt;&gt;"","SL"&amp;COUNTIF(C$2:$D78,"&lt;&gt;"),"")</f>
        <v/>
      </c>
    </row>
    <row r="79" spans="2:8">
      <c r="B79" s="93" t="s">
        <v>471</v>
      </c>
      <c r="C79" s="15" t="s">
        <v>493</v>
      </c>
      <c r="D79" s="82" t="s">
        <v>945</v>
      </c>
    </row>
    <row r="80" spans="2:8" ht="14.4">
      <c r="B80" s="95" t="s">
        <v>331</v>
      </c>
      <c r="C80" s="17" t="s">
        <v>345</v>
      </c>
      <c r="D80" s="62" t="str">
        <f ca="1">IF(C80&lt;&gt;"","SL"&amp;COUNTIF(C$2:$D80,"&lt;&gt;"),"")</f>
        <v>SL20</v>
      </c>
    </row>
    <row r="81" spans="2:8" ht="14.4">
      <c r="B81" s="93" t="s">
        <v>471</v>
      </c>
      <c r="C81" s="15" t="s">
        <v>493</v>
      </c>
      <c r="D81" s="82" t="s">
        <v>951</v>
      </c>
      <c r="F81" s="17"/>
      <c r="G81" s="17"/>
      <c r="H81" s="62"/>
    </row>
    <row r="82" spans="2:8" ht="14.4">
      <c r="B82" s="90" t="s">
        <v>556</v>
      </c>
      <c r="C82" s="17" t="s">
        <v>557</v>
      </c>
      <c r="D82" s="55" t="s">
        <v>923</v>
      </c>
    </row>
    <row r="83" spans="2:8" ht="14.4">
      <c r="B83" s="95" t="s">
        <v>556</v>
      </c>
      <c r="C83" s="17" t="s">
        <v>557</v>
      </c>
      <c r="D83" s="55" t="s">
        <v>32</v>
      </c>
    </row>
    <row r="84" spans="2:8" ht="14.4">
      <c r="B84" s="95"/>
      <c r="C84" s="17"/>
      <c r="D84" s="62" t="str">
        <f>IF(C84&lt;&gt;"","SL"&amp;COUNTIF(C$2:$D84,"&lt;&gt;"),"")</f>
        <v/>
      </c>
    </row>
    <row r="85" spans="2:8" ht="13.8">
      <c r="B85" s="90" t="s">
        <v>384</v>
      </c>
      <c r="C85" t="s">
        <v>400</v>
      </c>
      <c r="D85" s="62" t="str">
        <f ca="1">IF(C85&lt;&gt;"","SL"&amp;COUNTIF(C$2:$D85,"&lt;&gt;"),"")</f>
        <v>SL24</v>
      </c>
    </row>
    <row r="86" spans="2:8" ht="13.8">
      <c r="B86" s="90" t="s">
        <v>385</v>
      </c>
      <c r="C86" t="s">
        <v>401</v>
      </c>
      <c r="D86" s="62" t="str">
        <f ca="1">IF(C86&lt;&gt;"","SL"&amp;COUNTIF(C$2:$D86,"&lt;&gt;"),"")</f>
        <v>SL25</v>
      </c>
    </row>
    <row r="87" spans="2:8" ht="13.8">
      <c r="B87" s="90" t="s">
        <v>386</v>
      </c>
      <c r="C87" t="s">
        <v>402</v>
      </c>
      <c r="D87" s="62" t="str">
        <f ca="1">IF(C87&lt;&gt;"","SL"&amp;COUNTIF(C$2:$D87,"&lt;&gt;"),"")</f>
        <v>SL26</v>
      </c>
    </row>
    <row r="88" spans="2:8" ht="13.8">
      <c r="B88" s="90" t="s">
        <v>387</v>
      </c>
      <c r="C88" t="s">
        <v>403</v>
      </c>
      <c r="D88" s="62" t="str">
        <f ca="1">IF(C88&lt;&gt;"","SL"&amp;COUNTIF(C$2:$D88,"&lt;&gt;"),"")</f>
        <v>SL27</v>
      </c>
    </row>
    <row r="89" spans="2:8" ht="13.8">
      <c r="B89" s="90" t="s">
        <v>388</v>
      </c>
      <c r="C89" t="s">
        <v>404</v>
      </c>
      <c r="D89" s="62" t="str">
        <f ca="1">IF(C89&lt;&gt;"","SL"&amp;COUNTIF(C$2:$D89,"&lt;&gt;"),"")</f>
        <v>SL28</v>
      </c>
    </row>
    <row r="90" spans="2:8" ht="13.8">
      <c r="B90" s="90" t="s">
        <v>389</v>
      </c>
      <c r="C90" t="s">
        <v>405</v>
      </c>
      <c r="D90" s="62" t="str">
        <f ca="1">IF(C90&lt;&gt;"","SL"&amp;COUNTIF(C$2:$D90,"&lt;&gt;"),"")</f>
        <v>SL29</v>
      </c>
    </row>
    <row r="91" spans="2:8" ht="13.8">
      <c r="B91" s="90" t="s">
        <v>390</v>
      </c>
      <c r="C91" t="s">
        <v>406</v>
      </c>
      <c r="D91" s="62" t="str">
        <f ca="1">IF(C91&lt;&gt;"","SL"&amp;COUNTIF(C$2:$D91,"&lt;&gt;"),"")</f>
        <v>SL30</v>
      </c>
    </row>
    <row r="92" spans="2:8" ht="13.8">
      <c r="B92" s="90" t="s">
        <v>391</v>
      </c>
      <c r="C92" t="s">
        <v>407</v>
      </c>
      <c r="D92" s="62" t="str">
        <f ca="1">IF(C92&lt;&gt;"","SL"&amp;COUNTIF(C$2:$D92,"&lt;&gt;"),"")</f>
        <v>SL31</v>
      </c>
    </row>
    <row r="93" spans="2:8" ht="14.4">
      <c r="B93" s="95"/>
      <c r="C93" s="17"/>
      <c r="D93" s="62" t="str">
        <f>IF(C93&lt;&gt;"","SL"&amp;COUNTIF(C$2:$D93,"&lt;&gt;"),"")</f>
        <v/>
      </c>
    </row>
    <row r="94" spans="2:8" ht="13.8">
      <c r="B94" s="90" t="s">
        <v>408</v>
      </c>
      <c r="C94" t="s">
        <v>426</v>
      </c>
      <c r="D94" s="62" t="str">
        <f ca="1">IF(C94&lt;&gt;"","SL"&amp;COUNTIF(C$2:$D94,"&lt;&gt;"),"")</f>
        <v>SL32</v>
      </c>
    </row>
    <row r="95" spans="2:8" ht="13.8">
      <c r="B95" s="90" t="s">
        <v>409</v>
      </c>
      <c r="C95" t="s">
        <v>427</v>
      </c>
      <c r="D95" s="62" t="str">
        <f ca="1">IF(C95&lt;&gt;"","SL"&amp;COUNTIF(C$2:$D95,"&lt;&gt;"),"")</f>
        <v>SL33</v>
      </c>
    </row>
    <row r="96" spans="2:8" ht="13.8">
      <c r="B96" s="90" t="s">
        <v>410</v>
      </c>
      <c r="C96" t="s">
        <v>428</v>
      </c>
      <c r="D96" s="62" t="str">
        <f ca="1">IF(C96&lt;&gt;"","SL"&amp;COUNTIF(C$2:$D96,"&lt;&gt;"),"")</f>
        <v>SL34</v>
      </c>
    </row>
    <row r="97" spans="1:4" ht="13.8">
      <c r="B97" s="90" t="s">
        <v>411</v>
      </c>
      <c r="C97" t="s">
        <v>429</v>
      </c>
      <c r="D97" s="62" t="str">
        <f ca="1">IF(C97&lt;&gt;"","SL"&amp;COUNTIF(C$2:$D97,"&lt;&gt;"),"")</f>
        <v>SL35</v>
      </c>
    </row>
    <row r="98" spans="1:4" ht="13.8">
      <c r="B98" s="90" t="s">
        <v>412</v>
      </c>
      <c r="C98" t="s">
        <v>430</v>
      </c>
      <c r="D98" s="62" t="str">
        <f ca="1">IF(C98&lt;&gt;"","SL"&amp;COUNTIF(C$2:$D98,"&lt;&gt;"),"")</f>
        <v>SL36</v>
      </c>
    </row>
    <row r="99" spans="1:4" ht="13.8">
      <c r="B99" s="90" t="s">
        <v>413</v>
      </c>
      <c r="C99" t="s">
        <v>431</v>
      </c>
      <c r="D99" s="62" t="str">
        <f ca="1">IF(C99&lt;&gt;"","SL"&amp;COUNTIF(C$2:$D99,"&lt;&gt;"),"")</f>
        <v>SL37</v>
      </c>
    </row>
    <row r="100" spans="1:4" ht="13.8">
      <c r="B100" s="90" t="s">
        <v>414</v>
      </c>
      <c r="C100" t="s">
        <v>432</v>
      </c>
      <c r="D100" s="62" t="str">
        <f ca="1">IF(C100&lt;&gt;"","SL"&amp;COUNTIF(C$2:$D100,"&lt;&gt;"),"")</f>
        <v>SL38</v>
      </c>
    </row>
    <row r="101" spans="1:4" ht="13.8">
      <c r="B101" s="90" t="s">
        <v>415</v>
      </c>
      <c r="C101" t="s">
        <v>433</v>
      </c>
      <c r="D101" s="62" t="str">
        <f ca="1">IF(C101&lt;&gt;"","SL"&amp;COUNTIF(C$2:$D101,"&lt;&gt;"),"")</f>
        <v>SL39</v>
      </c>
    </row>
    <row r="102" spans="1:4" ht="13.8">
      <c r="B102" s="90" t="s">
        <v>416</v>
      </c>
      <c r="C102" t="s">
        <v>434</v>
      </c>
      <c r="D102" s="62" t="str">
        <f ca="1">IF(C102&lt;&gt;"","SL"&amp;COUNTIF(C$2:$D102,"&lt;&gt;"),"")</f>
        <v>SL40</v>
      </c>
    </row>
    <row r="104" spans="1:4">
      <c r="A104" s="22" t="s">
        <v>918</v>
      </c>
      <c r="B104" s="96" t="s">
        <v>820</v>
      </c>
      <c r="C104" s="12" t="s">
        <v>821</v>
      </c>
      <c r="D104" s="12" t="s">
        <v>905</v>
      </c>
    </row>
    <row r="105" spans="1:4">
      <c r="B105" s="96" t="s">
        <v>823</v>
      </c>
      <c r="C105" s="12" t="s">
        <v>824</v>
      </c>
      <c r="D105" s="12" t="s">
        <v>36</v>
      </c>
    </row>
    <row r="106" spans="1:4">
      <c r="B106" s="96" t="s">
        <v>826</v>
      </c>
      <c r="C106" s="12" t="s">
        <v>827</v>
      </c>
      <c r="D106" s="12" t="s">
        <v>37</v>
      </c>
    </row>
    <row r="107" spans="1:4">
      <c r="B107" s="96"/>
      <c r="C107" s="12"/>
      <c r="D107" s="12" t="s">
        <v>906</v>
      </c>
    </row>
    <row r="108" spans="1:4">
      <c r="B108" s="90" t="s">
        <v>835</v>
      </c>
      <c r="C108" t="s">
        <v>836</v>
      </c>
      <c r="D108" s="12" t="s">
        <v>907</v>
      </c>
    </row>
    <row r="109" spans="1:4">
      <c r="B109" s="90" t="s">
        <v>838</v>
      </c>
      <c r="C109" t="s">
        <v>839</v>
      </c>
      <c r="D109" s="12" t="s">
        <v>908</v>
      </c>
    </row>
    <row r="110" spans="1:4">
      <c r="B110" s="96"/>
      <c r="C110" s="12"/>
      <c r="D110" s="12" t="s">
        <v>906</v>
      </c>
    </row>
    <row r="111" spans="1:4">
      <c r="B111" s="96" t="s">
        <v>845</v>
      </c>
      <c r="C111" s="12" t="s">
        <v>846</v>
      </c>
      <c r="D111" s="12" t="s">
        <v>909</v>
      </c>
    </row>
    <row r="112" spans="1:4">
      <c r="B112" s="96" t="s">
        <v>848</v>
      </c>
      <c r="C112" s="12" t="s">
        <v>849</v>
      </c>
      <c r="D112" s="12" t="s">
        <v>910</v>
      </c>
    </row>
    <row r="113" spans="1:4">
      <c r="B113" s="96" t="s">
        <v>851</v>
      </c>
      <c r="C113" s="12" t="s">
        <v>852</v>
      </c>
      <c r="D113" s="12" t="s">
        <v>911</v>
      </c>
    </row>
    <row r="114" spans="1:4">
      <c r="B114" s="96"/>
      <c r="C114" s="12"/>
      <c r="D114" s="12" t="s">
        <v>906</v>
      </c>
    </row>
    <row r="115" spans="1:4">
      <c r="B115" s="90" t="s">
        <v>860</v>
      </c>
      <c r="C115" t="s">
        <v>861</v>
      </c>
      <c r="D115" s="12" t="s">
        <v>912</v>
      </c>
    </row>
    <row r="116" spans="1:4">
      <c r="B116" s="90" t="s">
        <v>863</v>
      </c>
      <c r="C116" t="s">
        <v>864</v>
      </c>
      <c r="D116" s="12" t="s">
        <v>913</v>
      </c>
    </row>
    <row r="117" spans="1:4">
      <c r="B117" s="96"/>
      <c r="C117" s="12"/>
      <c r="D117" s="12" t="s">
        <v>906</v>
      </c>
    </row>
    <row r="118" spans="1:4">
      <c r="B118" s="96" t="s">
        <v>870</v>
      </c>
      <c r="C118" s="12" t="s">
        <v>874</v>
      </c>
      <c r="D118" s="12" t="s">
        <v>914</v>
      </c>
    </row>
    <row r="119" spans="1:4">
      <c r="B119" s="96" t="s">
        <v>871</v>
      </c>
      <c r="C119" s="12" t="s">
        <v>875</v>
      </c>
      <c r="D119" s="12" t="s">
        <v>915</v>
      </c>
    </row>
    <row r="120" spans="1:4">
      <c r="B120" s="96" t="s">
        <v>872</v>
      </c>
      <c r="C120" s="12" t="s">
        <v>876</v>
      </c>
      <c r="D120" s="12" t="s">
        <v>916</v>
      </c>
    </row>
    <row r="121" spans="1:4">
      <c r="B121" s="96" t="s">
        <v>873</v>
      </c>
      <c r="C121" s="12" t="s">
        <v>876</v>
      </c>
      <c r="D121" s="12" t="s">
        <v>917</v>
      </c>
    </row>
    <row r="123" spans="1:4" ht="14.4">
      <c r="A123" s="22" t="s">
        <v>23</v>
      </c>
      <c r="B123" s="97" t="s">
        <v>512</v>
      </c>
      <c r="C123" s="78" t="s">
        <v>511</v>
      </c>
      <c r="D123" s="55" t="s">
        <v>24</v>
      </c>
    </row>
    <row r="124" spans="1:4" ht="14.4">
      <c r="B124" s="97" t="s">
        <v>516</v>
      </c>
      <c r="C124" s="55" t="s">
        <v>515</v>
      </c>
      <c r="D124" s="55" t="s">
        <v>25</v>
      </c>
    </row>
    <row r="125" spans="1:4" ht="14.4">
      <c r="B125" s="95" t="s">
        <v>520</v>
      </c>
      <c r="C125" s="17" t="s">
        <v>519</v>
      </c>
      <c r="D125" s="55" t="s">
        <v>919</v>
      </c>
    </row>
    <row r="126" spans="1:4" ht="14.4">
      <c r="B126" s="97" t="s">
        <v>524</v>
      </c>
      <c r="C126" s="55" t="s">
        <v>523</v>
      </c>
      <c r="D126" s="55" t="s">
        <v>26</v>
      </c>
    </row>
    <row r="127" spans="1:4" ht="14.4">
      <c r="B127" s="97" t="s">
        <v>528</v>
      </c>
      <c r="C127" s="55" t="s">
        <v>527</v>
      </c>
      <c r="D127" s="55" t="s">
        <v>920</v>
      </c>
    </row>
    <row r="128" spans="1:4" ht="13.8">
      <c r="B128" s="93" t="s">
        <v>333</v>
      </c>
      <c r="C128" s="59" t="s">
        <v>347</v>
      </c>
      <c r="D128" s="62" t="str">
        <f ca="1">IF(C128&lt;&gt;"","SL"&amp;COUNTIF(C$2:$D128,"&lt;&gt;"),"")</f>
        <v>SL11</v>
      </c>
    </row>
    <row r="129" spans="1:4" ht="14.4">
      <c r="B129" s="97" t="s">
        <v>536</v>
      </c>
      <c r="C129" s="78" t="s">
        <v>535</v>
      </c>
      <c r="D129" s="55" t="s">
        <v>921</v>
      </c>
    </row>
    <row r="130" spans="1:4" ht="14.4">
      <c r="B130" s="97"/>
      <c r="C130" s="55"/>
      <c r="D130" s="55" t="s">
        <v>906</v>
      </c>
    </row>
    <row r="131" spans="1:4" ht="14.4">
      <c r="B131" s="90" t="s">
        <v>546</v>
      </c>
      <c r="C131" s="17" t="s">
        <v>547</v>
      </c>
      <c r="D131" s="55" t="s">
        <v>28</v>
      </c>
    </row>
    <row r="132" spans="1:4" ht="14.4">
      <c r="B132" s="90" t="s">
        <v>551</v>
      </c>
      <c r="C132" s="17" t="s">
        <v>552</v>
      </c>
      <c r="D132" s="55" t="s">
        <v>922</v>
      </c>
    </row>
    <row r="133" spans="1:4" ht="14.4">
      <c r="B133" s="95" t="s">
        <v>333</v>
      </c>
      <c r="C133" s="17" t="s">
        <v>347</v>
      </c>
      <c r="D133" s="62" t="str">
        <f ca="1">IF(C133&lt;&gt;"","SL"&amp;COUNTIF(C$2:$D133,"&lt;&gt;"),"")</f>
        <v>SL22</v>
      </c>
    </row>
    <row r="134" spans="1:4" ht="14.4">
      <c r="B134" s="90" t="s">
        <v>561</v>
      </c>
      <c r="C134" s="17" t="s">
        <v>562</v>
      </c>
      <c r="D134" s="55" t="s">
        <v>924</v>
      </c>
    </row>
    <row r="135" spans="1:4" ht="13.8">
      <c r="A135" s="22" t="s">
        <v>904</v>
      </c>
      <c r="B135" s="93" t="s">
        <v>300</v>
      </c>
      <c r="C135" s="59" t="s">
        <v>314</v>
      </c>
      <c r="D135" s="62" t="str">
        <f ca="1">IF(C135&lt;&gt;"","SL"&amp;COUNTIF(C$2:$D135,"&lt;&gt;"),"")</f>
        <v>SL1</v>
      </c>
    </row>
    <row r="136" spans="1:4" ht="14.4">
      <c r="B136" s="90" t="s">
        <v>570</v>
      </c>
      <c r="C136" s="17" t="s">
        <v>571</v>
      </c>
      <c r="D136" s="55" t="s">
        <v>30</v>
      </c>
    </row>
    <row r="137" spans="1:4" ht="14.4">
      <c r="B137" s="97"/>
      <c r="C137" s="78"/>
      <c r="D137" s="55" t="s">
        <v>906</v>
      </c>
    </row>
    <row r="138" spans="1:4" ht="14.4">
      <c r="B138" s="95" t="s">
        <v>575</v>
      </c>
      <c r="C138" s="17" t="s">
        <v>576</v>
      </c>
      <c r="D138" s="55" t="s">
        <v>31</v>
      </c>
    </row>
    <row r="139" spans="1:4" ht="13.8">
      <c r="B139" s="93" t="s">
        <v>300</v>
      </c>
      <c r="C139" s="59" t="s">
        <v>314</v>
      </c>
      <c r="D139" s="62" t="str">
        <f ca="1">IF(C139&lt;&gt;"","SL"&amp;COUNTIF(C$2:$D139,"&lt;&gt;"),"")</f>
        <v>SL8</v>
      </c>
    </row>
    <row r="140" spans="1:4" ht="14.4">
      <c r="B140" s="95" t="s">
        <v>579</v>
      </c>
      <c r="C140" s="17" t="s">
        <v>580</v>
      </c>
      <c r="D140" s="55" t="s">
        <v>925</v>
      </c>
    </row>
    <row r="141" spans="1:4" ht="14.4">
      <c r="B141" s="95" t="s">
        <v>583</v>
      </c>
      <c r="C141" s="17" t="s">
        <v>584</v>
      </c>
      <c r="D141" s="55" t="s">
        <v>926</v>
      </c>
    </row>
    <row r="142" spans="1:4" ht="14.4">
      <c r="B142" s="95" t="s">
        <v>587</v>
      </c>
      <c r="C142" s="17" t="s">
        <v>588</v>
      </c>
      <c r="D142" s="55" t="s">
        <v>33</v>
      </c>
    </row>
    <row r="143" spans="1:4" ht="14.4">
      <c r="B143" s="95" t="s">
        <v>591</v>
      </c>
      <c r="C143" s="17" t="s">
        <v>592</v>
      </c>
      <c r="D143" s="55" t="s">
        <v>927</v>
      </c>
    </row>
    <row r="144" spans="1:4" ht="14.4">
      <c r="B144" s="95" t="s">
        <v>595</v>
      </c>
      <c r="C144" s="17" t="s">
        <v>596</v>
      </c>
      <c r="D144" s="55" t="s">
        <v>928</v>
      </c>
    </row>
    <row r="145" spans="2:4" ht="14.4">
      <c r="B145" s="95" t="s">
        <v>599</v>
      </c>
      <c r="C145" s="17" t="s">
        <v>600</v>
      </c>
      <c r="D145" s="55" t="s">
        <v>929</v>
      </c>
    </row>
    <row r="146" spans="2:4" ht="14.4">
      <c r="B146" s="97"/>
      <c r="C146" s="55"/>
      <c r="D146" s="55" t="s">
        <v>906</v>
      </c>
    </row>
    <row r="147" spans="2:4" ht="14.4">
      <c r="B147" s="95" t="s">
        <v>611</v>
      </c>
      <c r="C147" s="17" t="s">
        <v>612</v>
      </c>
      <c r="D147" s="55" t="s">
        <v>930</v>
      </c>
    </row>
    <row r="148" spans="2:4" ht="14.4">
      <c r="B148" s="95" t="s">
        <v>615</v>
      </c>
      <c r="C148" s="17" t="s">
        <v>616</v>
      </c>
      <c r="D148" s="55" t="s">
        <v>931</v>
      </c>
    </row>
    <row r="149" spans="2:4" ht="14.4">
      <c r="B149" s="95" t="s">
        <v>619</v>
      </c>
      <c r="C149" s="17" t="s">
        <v>620</v>
      </c>
      <c r="D149" s="55" t="s">
        <v>932</v>
      </c>
    </row>
    <row r="150" spans="2:4" ht="14.4">
      <c r="B150" s="95"/>
      <c r="C150" s="17"/>
      <c r="D150" s="55" t="s">
        <v>906</v>
      </c>
    </row>
    <row r="151" spans="2:4" ht="14.4">
      <c r="B151" s="95" t="s">
        <v>626</v>
      </c>
      <c r="C151" s="17" t="s">
        <v>627</v>
      </c>
      <c r="D151" s="55" t="s">
        <v>933</v>
      </c>
    </row>
    <row r="152" spans="2:4" ht="14.4">
      <c r="B152" s="95" t="s">
        <v>631</v>
      </c>
      <c r="C152" s="17" t="s">
        <v>632</v>
      </c>
      <c r="D152" s="55" t="s">
        <v>934</v>
      </c>
    </row>
    <row r="153" spans="2:4" ht="14.4">
      <c r="B153" s="95" t="s">
        <v>636</v>
      </c>
      <c r="C153" s="17" t="s">
        <v>637</v>
      </c>
      <c r="D153" s="55" t="s">
        <v>935</v>
      </c>
    </row>
    <row r="154" spans="2:4" ht="14.4">
      <c r="B154" s="95" t="s">
        <v>641</v>
      </c>
      <c r="C154" s="17" t="s">
        <v>642</v>
      </c>
      <c r="D154" s="55" t="s">
        <v>936</v>
      </c>
    </row>
    <row r="155" spans="2:4" ht="14.4">
      <c r="B155" s="95" t="s">
        <v>646</v>
      </c>
      <c r="C155" s="17" t="s">
        <v>647</v>
      </c>
      <c r="D155" s="55" t="s">
        <v>937</v>
      </c>
    </row>
    <row r="156" spans="2:4" ht="14.4">
      <c r="B156" s="95"/>
      <c r="C156" s="17"/>
      <c r="D156" s="55" t="s">
        <v>906</v>
      </c>
    </row>
    <row r="157" spans="2:4" ht="14.4">
      <c r="B157" s="95" t="s">
        <v>651</v>
      </c>
      <c r="C157" s="17" t="s">
        <v>652</v>
      </c>
      <c r="D157" s="55" t="s">
        <v>938</v>
      </c>
    </row>
    <row r="158" spans="2:4" ht="14.4">
      <c r="B158" s="95" t="s">
        <v>656</v>
      </c>
      <c r="C158" s="17" t="s">
        <v>657</v>
      </c>
      <c r="D158" s="55" t="s">
        <v>939</v>
      </c>
    </row>
    <row r="159" spans="2:4" ht="14.4">
      <c r="B159" s="95" t="s">
        <v>661</v>
      </c>
      <c r="C159" s="17" t="s">
        <v>662</v>
      </c>
      <c r="D159" s="55" t="s">
        <v>940</v>
      </c>
    </row>
    <row r="160" spans="2:4" ht="14.4">
      <c r="B160" s="95" t="s">
        <v>666</v>
      </c>
      <c r="C160" s="17" t="s">
        <v>667</v>
      </c>
      <c r="D160" s="55" t="s">
        <v>941</v>
      </c>
    </row>
    <row r="162" spans="1:4">
      <c r="A162" s="22" t="s">
        <v>20</v>
      </c>
      <c r="B162" s="81" t="s">
        <v>465</v>
      </c>
      <c r="C162" s="15" t="s">
        <v>484</v>
      </c>
      <c r="D162" s="82" t="s">
        <v>942</v>
      </c>
    </row>
    <row r="163" spans="1:4">
      <c r="B163" s="93" t="s">
        <v>467</v>
      </c>
      <c r="C163" s="15" t="s">
        <v>487</v>
      </c>
      <c r="D163" s="82" t="s">
        <v>943</v>
      </c>
    </row>
    <row r="164" spans="1:4">
      <c r="B164" s="93" t="s">
        <v>469</v>
      </c>
      <c r="C164" s="15" t="s">
        <v>490</v>
      </c>
      <c r="D164" s="82" t="s">
        <v>944</v>
      </c>
    </row>
    <row r="165" spans="1:4" ht="14.4">
      <c r="B165" s="95" t="s">
        <v>300</v>
      </c>
      <c r="C165" s="17" t="s">
        <v>314</v>
      </c>
      <c r="D165" s="62" t="str">
        <f ca="1">IF(C165&lt;&gt;"","SL"&amp;COUNTIF(C$2:$D165,"&lt;&gt;"),"")</f>
        <v>SL19</v>
      </c>
    </row>
    <row r="166" spans="1:4">
      <c r="B166" s="93" t="s">
        <v>473</v>
      </c>
      <c r="C166" s="15" t="s">
        <v>496</v>
      </c>
      <c r="D166" s="82" t="s">
        <v>946</v>
      </c>
    </row>
    <row r="167" spans="1:4">
      <c r="B167" s="93" t="s">
        <v>475</v>
      </c>
      <c r="C167" s="15" t="s">
        <v>499</v>
      </c>
      <c r="D167" s="82" t="s">
        <v>947</v>
      </c>
    </row>
    <row r="168" spans="1:4">
      <c r="B168" s="93" t="s">
        <v>477</v>
      </c>
      <c r="C168" s="15" t="s">
        <v>502</v>
      </c>
      <c r="D168" s="82" t="s">
        <v>948</v>
      </c>
    </row>
    <row r="169" spans="1:4">
      <c r="B169" s="93" t="s">
        <v>479</v>
      </c>
      <c r="C169" s="15" t="s">
        <v>505</v>
      </c>
      <c r="D169" s="82" t="s">
        <v>949</v>
      </c>
    </row>
    <row r="170" spans="1:4">
      <c r="B170" s="93" t="s">
        <v>481</v>
      </c>
      <c r="C170" s="15" t="s">
        <v>508</v>
      </c>
      <c r="D170" s="82" t="s">
        <v>950</v>
      </c>
    </row>
    <row r="171" spans="1:4">
      <c r="B171" s="98"/>
      <c r="C171" s="85"/>
      <c r="D171" s="82" t="s">
        <v>906</v>
      </c>
    </row>
    <row r="172" spans="1:4">
      <c r="B172" t="s">
        <v>1020</v>
      </c>
      <c r="C172" t="s">
        <v>1021</v>
      </c>
      <c r="D172" t="s">
        <v>1057</v>
      </c>
    </row>
    <row r="173" spans="1:4">
      <c r="B173" s="90" t="s">
        <v>699</v>
      </c>
      <c r="C173" s="15" t="s">
        <v>741</v>
      </c>
      <c r="D173" s="82" t="s">
        <v>952</v>
      </c>
    </row>
    <row r="174" spans="1:4">
      <c r="B174" s="90" t="s">
        <v>695</v>
      </c>
      <c r="C174" s="74" t="s">
        <v>748</v>
      </c>
      <c r="D174" s="82" t="s">
        <v>953</v>
      </c>
    </row>
    <row r="175" spans="1:4">
      <c r="B175" s="90" t="s">
        <v>703</v>
      </c>
      <c r="C175" t="s">
        <v>744</v>
      </c>
      <c r="D175" s="82" t="s">
        <v>954</v>
      </c>
    </row>
    <row r="176" spans="1:4">
      <c r="B176" s="99" t="s">
        <v>483</v>
      </c>
      <c r="C176" t="s">
        <v>746</v>
      </c>
      <c r="D176" s="82" t="s">
        <v>955</v>
      </c>
    </row>
    <row r="177" spans="1:4">
      <c r="B177" s="98"/>
      <c r="C177" s="85"/>
      <c r="D177" s="82" t="s">
        <v>906</v>
      </c>
    </row>
    <row r="178" spans="1:4">
      <c r="B178" s="90" t="s">
        <v>708</v>
      </c>
      <c r="C178" s="15" t="s">
        <v>724</v>
      </c>
      <c r="D178" s="82" t="s">
        <v>956</v>
      </c>
    </row>
    <row r="179" spans="1:4">
      <c r="B179" s="90" t="s">
        <v>710</v>
      </c>
      <c r="C179" s="15" t="s">
        <v>726</v>
      </c>
      <c r="D179" s="82" t="s">
        <v>957</v>
      </c>
    </row>
    <row r="180" spans="1:4">
      <c r="B180" s="90" t="s">
        <v>712</v>
      </c>
      <c r="C180" s="15" t="s">
        <v>728</v>
      </c>
      <c r="D180" s="82" t="s">
        <v>958</v>
      </c>
    </row>
    <row r="181" spans="1:4">
      <c r="B181" s="90" t="s">
        <v>714</v>
      </c>
      <c r="C181" s="15" t="s">
        <v>730</v>
      </c>
      <c r="D181" s="82" t="s">
        <v>959</v>
      </c>
    </row>
    <row r="182" spans="1:4">
      <c r="B182" s="90" t="s">
        <v>716</v>
      </c>
      <c r="C182" s="15" t="s">
        <v>732</v>
      </c>
      <c r="D182" s="82" t="s">
        <v>960</v>
      </c>
    </row>
    <row r="183" spans="1:4">
      <c r="B183" s="90" t="s">
        <v>718</v>
      </c>
      <c r="C183" s="15" t="s">
        <v>734</v>
      </c>
      <c r="D183" s="82" t="s">
        <v>961</v>
      </c>
    </row>
    <row r="184" spans="1:4">
      <c r="B184" s="98" t="s">
        <v>720</v>
      </c>
      <c r="C184" s="15" t="s">
        <v>736</v>
      </c>
      <c r="D184" s="82" t="s">
        <v>962</v>
      </c>
    </row>
    <row r="185" spans="1:4">
      <c r="B185" s="90" t="s">
        <v>722</v>
      </c>
      <c r="C185" s="15" t="s">
        <v>738</v>
      </c>
      <c r="D185" s="82" t="s">
        <v>963</v>
      </c>
    </row>
    <row r="187" spans="1:4" ht="14.4">
      <c r="A187" s="22" t="s">
        <v>34</v>
      </c>
      <c r="B187" s="95" t="s">
        <v>671</v>
      </c>
      <c r="C187" s="17" t="s">
        <v>672</v>
      </c>
      <c r="D187" s="17" t="s">
        <v>964</v>
      </c>
    </row>
    <row r="188" spans="1:4" ht="14.4">
      <c r="B188" s="95" t="s">
        <v>675</v>
      </c>
      <c r="C188" s="17" t="s">
        <v>676</v>
      </c>
      <c r="D188" s="17" t="s">
        <v>965</v>
      </c>
    </row>
    <row r="189" spans="1:4" ht="14.4">
      <c r="B189" s="95" t="s">
        <v>679</v>
      </c>
      <c r="C189" s="17" t="s">
        <v>680</v>
      </c>
      <c r="D189" s="17" t="s">
        <v>966</v>
      </c>
    </row>
    <row r="190" spans="1:4" ht="14.4">
      <c r="B190" s="95" t="s">
        <v>683</v>
      </c>
      <c r="C190" s="17" t="s">
        <v>684</v>
      </c>
      <c r="D190" s="17" t="s">
        <v>967</v>
      </c>
    </row>
    <row r="191" spans="1:4">
      <c r="B191" t="s">
        <v>1020</v>
      </c>
      <c r="C191" t="s">
        <v>1021</v>
      </c>
      <c r="D191" t="s">
        <v>1067</v>
      </c>
    </row>
    <row r="192" spans="1:4" ht="14.4">
      <c r="B192" s="100"/>
      <c r="C192" s="72"/>
      <c r="D192" s="17" t="s">
        <v>906</v>
      </c>
    </row>
    <row r="193" spans="2:4" ht="14.4">
      <c r="B193" s="95" t="s">
        <v>757</v>
      </c>
      <c r="C193" s="17" t="s">
        <v>758</v>
      </c>
      <c r="D193" s="17" t="s">
        <v>971</v>
      </c>
    </row>
    <row r="194" spans="2:4" ht="14.4">
      <c r="B194" s="95" t="s">
        <v>753</v>
      </c>
      <c r="C194" s="17" t="s">
        <v>754</v>
      </c>
      <c r="D194" s="17" t="s">
        <v>970</v>
      </c>
    </row>
    <row r="195" spans="2:4" ht="14.4">
      <c r="B195" s="95" t="s">
        <v>757</v>
      </c>
      <c r="C195" s="17" t="s">
        <v>758</v>
      </c>
      <c r="D195" s="17" t="s">
        <v>984</v>
      </c>
    </row>
    <row r="196" spans="2:4" ht="13.8">
      <c r="B196" s="93" t="s">
        <v>334</v>
      </c>
      <c r="C196" s="59" t="s">
        <v>348</v>
      </c>
      <c r="D196" s="62" t="str">
        <f ca="1">IF(C196&lt;&gt;"","SL"&amp;COUNTIF(C$2:$D196,"&lt;&gt;"),"")</f>
        <v>SL12</v>
      </c>
    </row>
    <row r="197" spans="2:4" ht="14.4">
      <c r="B197" s="95" t="s">
        <v>761</v>
      </c>
      <c r="C197" s="17" t="s">
        <v>762</v>
      </c>
      <c r="D197" s="17" t="s">
        <v>973</v>
      </c>
    </row>
    <row r="198" spans="2:4" ht="14.4">
      <c r="B198" s="100"/>
      <c r="C198" s="17"/>
      <c r="D198" s="17" t="s">
        <v>906</v>
      </c>
    </row>
    <row r="199" spans="2:4" ht="14.4">
      <c r="B199" s="95" t="s">
        <v>770</v>
      </c>
      <c r="C199" s="17" t="s">
        <v>771</v>
      </c>
      <c r="D199" s="17" t="s">
        <v>974</v>
      </c>
    </row>
    <row r="200" spans="2:4" ht="14.4">
      <c r="B200" s="95" t="s">
        <v>774</v>
      </c>
      <c r="C200" s="17" t="s">
        <v>775</v>
      </c>
      <c r="D200" s="17" t="s">
        <v>975</v>
      </c>
    </row>
    <row r="201" spans="2:4" ht="14.4">
      <c r="B201" s="95" t="s">
        <v>334</v>
      </c>
      <c r="C201" s="17" t="s">
        <v>348</v>
      </c>
      <c r="D201" s="62" t="str">
        <f ca="1">IF(C201&lt;&gt;"","SL"&amp;COUNTIF(C$2:$D201,"&lt;&gt;"),"")</f>
        <v>SL23</v>
      </c>
    </row>
    <row r="202" spans="2:4" ht="14.4">
      <c r="B202" s="95" t="s">
        <v>779</v>
      </c>
      <c r="C202" s="17" t="s">
        <v>780</v>
      </c>
      <c r="D202" s="17" t="s">
        <v>977</v>
      </c>
    </row>
    <row r="203" spans="2:4" ht="14.4">
      <c r="B203" s="95"/>
      <c r="C203" s="17"/>
      <c r="D203" s="17" t="s">
        <v>906</v>
      </c>
    </row>
    <row r="204" spans="2:4" ht="14.4">
      <c r="B204" s="95" t="s">
        <v>787</v>
      </c>
      <c r="C204" s="17" t="s">
        <v>788</v>
      </c>
      <c r="D204" s="17" t="s">
        <v>978</v>
      </c>
    </row>
    <row r="205" spans="2:4" ht="14.4">
      <c r="B205" s="95" t="s">
        <v>791</v>
      </c>
      <c r="C205" s="17" t="s">
        <v>792</v>
      </c>
      <c r="D205" s="17" t="s">
        <v>979</v>
      </c>
    </row>
    <row r="206" spans="2:4" ht="14.4">
      <c r="B206" s="97" t="s">
        <v>532</v>
      </c>
      <c r="C206" s="79" t="s">
        <v>531</v>
      </c>
      <c r="D206" s="55" t="s">
        <v>27</v>
      </c>
    </row>
    <row r="207" spans="2:4" ht="14.4">
      <c r="B207" s="95" t="s">
        <v>796</v>
      </c>
      <c r="C207" s="17" t="s">
        <v>797</v>
      </c>
      <c r="D207" s="17" t="s">
        <v>981</v>
      </c>
    </row>
    <row r="208" spans="2:4" ht="14.4">
      <c r="B208" s="95"/>
      <c r="C208" s="17"/>
      <c r="D208" s="17" t="s">
        <v>906</v>
      </c>
    </row>
    <row r="209" spans="1:4" ht="14.4">
      <c r="B209" s="95" t="s">
        <v>803</v>
      </c>
      <c r="C209" s="17" t="s">
        <v>804</v>
      </c>
      <c r="D209" s="17" t="s">
        <v>982</v>
      </c>
    </row>
    <row r="210" spans="1:4" ht="14.4">
      <c r="B210" s="95" t="s">
        <v>807</v>
      </c>
      <c r="C210" s="17" t="s">
        <v>808</v>
      </c>
      <c r="D210" s="17" t="s">
        <v>983</v>
      </c>
    </row>
    <row r="211" spans="1:4" ht="14.4">
      <c r="B211" s="90" t="s">
        <v>532</v>
      </c>
      <c r="C211" s="17" t="s">
        <v>566</v>
      </c>
      <c r="D211" s="55" t="s">
        <v>29</v>
      </c>
    </row>
    <row r="212" spans="1:4" ht="14.4">
      <c r="B212" s="95" t="s">
        <v>690</v>
      </c>
      <c r="C212" s="17" t="s">
        <v>691</v>
      </c>
      <c r="D212" s="17" t="s">
        <v>968</v>
      </c>
    </row>
    <row r="213" spans="1:4" ht="14.4">
      <c r="B213" s="95" t="s">
        <v>812</v>
      </c>
      <c r="C213" s="17" t="s">
        <v>813</v>
      </c>
      <c r="D213" s="17" t="s">
        <v>986</v>
      </c>
    </row>
    <row r="215" spans="1:4">
      <c r="A215" s="22" t="s">
        <v>1071</v>
      </c>
      <c r="B215" t="s">
        <v>998</v>
      </c>
      <c r="C215" t="s">
        <v>999</v>
      </c>
      <c r="D215" t="s">
        <v>1046</v>
      </c>
    </row>
    <row r="216" spans="1:4">
      <c r="B216" t="s">
        <v>1000</v>
      </c>
      <c r="C216" t="s">
        <v>1001</v>
      </c>
      <c r="D216" t="s">
        <v>1047</v>
      </c>
    </row>
    <row r="217" spans="1:4">
      <c r="B217" t="s">
        <v>1002</v>
      </c>
      <c r="C217" t="s">
        <v>1003</v>
      </c>
      <c r="D217" t="s">
        <v>1048</v>
      </c>
    </row>
    <row r="218" spans="1:4">
      <c r="B218"/>
      <c r="D218" t="s">
        <v>906</v>
      </c>
    </row>
    <row r="219" spans="1:4">
      <c r="B219" t="s">
        <v>1004</v>
      </c>
      <c r="C219" t="s">
        <v>1005</v>
      </c>
      <c r="D219" t="s">
        <v>1049</v>
      </c>
    </row>
    <row r="220" spans="1:4">
      <c r="B220" t="s">
        <v>1006</v>
      </c>
      <c r="C220" t="s">
        <v>1007</v>
      </c>
      <c r="D220" t="s">
        <v>1050</v>
      </c>
    </row>
    <row r="221" spans="1:4">
      <c r="B221" t="s">
        <v>1008</v>
      </c>
      <c r="C221" t="s">
        <v>1009</v>
      </c>
      <c r="D221" t="s">
        <v>1051</v>
      </c>
    </row>
    <row r="222" spans="1:4">
      <c r="B222" t="s">
        <v>1010</v>
      </c>
      <c r="C222" t="s">
        <v>1011</v>
      </c>
      <c r="D222" t="s">
        <v>1052</v>
      </c>
    </row>
    <row r="223" spans="1:4">
      <c r="B223" t="s">
        <v>1012</v>
      </c>
      <c r="C223" t="s">
        <v>1013</v>
      </c>
      <c r="D223" t="s">
        <v>1053</v>
      </c>
    </row>
    <row r="224" spans="1:4">
      <c r="B224"/>
      <c r="D224" t="s">
        <v>906</v>
      </c>
    </row>
    <row r="225" spans="2:4">
      <c r="B225" t="s">
        <v>1014</v>
      </c>
      <c r="C225" t="s">
        <v>1015</v>
      </c>
      <c r="D225" t="s">
        <v>1054</v>
      </c>
    </row>
    <row r="226" spans="2:4">
      <c r="B226" t="s">
        <v>1016</v>
      </c>
      <c r="C226" t="s">
        <v>1017</v>
      </c>
      <c r="D226" t="s">
        <v>1055</v>
      </c>
    </row>
    <row r="227" spans="2:4">
      <c r="B227" t="s">
        <v>1018</v>
      </c>
      <c r="C227" t="s">
        <v>1019</v>
      </c>
      <c r="D227" t="s">
        <v>1056</v>
      </c>
    </row>
    <row r="228" spans="2:4" ht="14.4">
      <c r="B228" s="95" t="s">
        <v>690</v>
      </c>
      <c r="C228" s="17" t="s">
        <v>691</v>
      </c>
      <c r="D228" s="17" t="s">
        <v>972</v>
      </c>
    </row>
    <row r="229" spans="2:4">
      <c r="B229" t="s">
        <v>1022</v>
      </c>
      <c r="C229" t="s">
        <v>1023</v>
      </c>
      <c r="D229" t="s">
        <v>1058</v>
      </c>
    </row>
    <row r="230" spans="2:4">
      <c r="B230" t="s">
        <v>1024</v>
      </c>
      <c r="C230" t="s">
        <v>1025</v>
      </c>
      <c r="D230" t="s">
        <v>1059</v>
      </c>
    </row>
    <row r="231" spans="2:4">
      <c r="B231" t="s">
        <v>1026</v>
      </c>
      <c r="C231" t="s">
        <v>1027</v>
      </c>
      <c r="D231" t="s">
        <v>1060</v>
      </c>
    </row>
    <row r="232" spans="2:4">
      <c r="B232"/>
      <c r="D232" t="s">
        <v>906</v>
      </c>
    </row>
    <row r="233" spans="2:4">
      <c r="B233" t="s">
        <v>1028</v>
      </c>
      <c r="C233" t="s">
        <v>1029</v>
      </c>
      <c r="D233" t="s">
        <v>1061</v>
      </c>
    </row>
    <row r="234" spans="2:4">
      <c r="B234" t="s">
        <v>1030</v>
      </c>
      <c r="C234" t="s">
        <v>1031</v>
      </c>
      <c r="D234" t="s">
        <v>1062</v>
      </c>
    </row>
    <row r="235" spans="2:4">
      <c r="B235"/>
    </row>
    <row r="236" spans="2:4">
      <c r="B236" t="s">
        <v>1032</v>
      </c>
      <c r="C236" t="s">
        <v>1033</v>
      </c>
      <c r="D236" t="s">
        <v>1063</v>
      </c>
    </row>
    <row r="237" spans="2:4">
      <c r="B237" t="s">
        <v>1034</v>
      </c>
      <c r="C237" t="s">
        <v>1035</v>
      </c>
      <c r="D237" t="s">
        <v>1064</v>
      </c>
    </row>
    <row r="238" spans="2:4">
      <c r="B238" t="s">
        <v>1036</v>
      </c>
      <c r="C238" t="s">
        <v>1037</v>
      </c>
      <c r="D238" t="s">
        <v>1065</v>
      </c>
    </row>
    <row r="239" spans="2:4">
      <c r="B239"/>
      <c r="D239" t="s">
        <v>906</v>
      </c>
    </row>
    <row r="240" spans="2:4">
      <c r="B240" t="s">
        <v>1038</v>
      </c>
      <c r="C240" t="s">
        <v>1039</v>
      </c>
      <c r="D240" t="s">
        <v>1066</v>
      </c>
    </row>
    <row r="241" spans="2:4" ht="14.4">
      <c r="B241" s="95" t="s">
        <v>690</v>
      </c>
      <c r="C241" s="17" t="s">
        <v>691</v>
      </c>
      <c r="D241" s="17" t="s">
        <v>985</v>
      </c>
    </row>
    <row r="242" spans="2:4">
      <c r="B242" t="s">
        <v>1040</v>
      </c>
      <c r="C242" t="s">
        <v>1041</v>
      </c>
      <c r="D242" t="s">
        <v>1068</v>
      </c>
    </row>
    <row r="243" spans="2:4">
      <c r="B243" t="s">
        <v>1042</v>
      </c>
      <c r="C243" t="s">
        <v>1043</v>
      </c>
      <c r="D243" t="s">
        <v>1069</v>
      </c>
    </row>
    <row r="244" spans="2:4">
      <c r="B244" t="s">
        <v>1044</v>
      </c>
      <c r="C244" t="s">
        <v>1045</v>
      </c>
      <c r="D244" t="s">
        <v>1070</v>
      </c>
    </row>
  </sheetData>
  <autoFilter ref="B1:B244" xr:uid="{09BC3C8D-D51B-44AF-B13E-FF9381D98E4D}"/>
  <sortState xmlns:xlrd2="http://schemas.microsoft.com/office/spreadsheetml/2017/richdata2" ref="A58:D241">
    <sortCondition ref="B1:B244"/>
  </sortState>
  <conditionalFormatting sqref="B21 B40:B56 A1:B1">
    <cfRule type="expression" dxfId="52" priority="12">
      <formula>COUNTIF($B$2:$B$986,$B1048567)&gt;1</formula>
    </cfRule>
  </conditionalFormatting>
  <conditionalFormatting sqref="B10 B37">
    <cfRule type="expression" dxfId="51" priority="9">
      <formula>COUNTIF($B$2:$B$986,#REF!)&gt;1</formula>
    </cfRule>
  </conditionalFormatting>
  <conditionalFormatting sqref="B11:B19">
    <cfRule type="expression" dxfId="50" priority="14">
      <formula>COUNTIF($B$2:$B$986,$B12)&gt;1</formula>
    </cfRule>
  </conditionalFormatting>
  <conditionalFormatting sqref="B20">
    <cfRule type="expression" dxfId="49" priority="13">
      <formula>COUNTIF($B$2:$B$986,$B31)&gt;1</formula>
    </cfRule>
  </conditionalFormatting>
  <conditionalFormatting sqref="B31:B36">
    <cfRule type="expression" dxfId="48" priority="10">
      <formula>COUNTIF($B$2:$B$986,$B2)&gt;1</formula>
    </cfRule>
  </conditionalFormatting>
  <conditionalFormatting sqref="B38:B39">
    <cfRule type="expression" dxfId="47" priority="11">
      <formula>COUNTIF($B$2:$B$986,$B8)&gt;1</formula>
    </cfRule>
  </conditionalFormatting>
  <conditionalFormatting sqref="B1:B56 A1">
    <cfRule type="duplicateValues" dxfId="46" priority="8"/>
  </conditionalFormatting>
  <conditionalFormatting sqref="N173">
    <cfRule type="duplicateValues" dxfId="45" priority="7"/>
  </conditionalFormatting>
  <conditionalFormatting sqref="B1:B214 B245:B1048576">
    <cfRule type="duplicateValues" dxfId="44" priority="6"/>
  </conditionalFormatting>
  <conditionalFormatting sqref="F66">
    <cfRule type="duplicateValues" dxfId="43" priority="5"/>
  </conditionalFormatting>
  <conditionalFormatting sqref="F81">
    <cfRule type="duplicateValues" dxfId="42" priority="4"/>
  </conditionalFormatting>
  <conditionalFormatting sqref="B1:B1048576">
    <cfRule type="duplicateValues" dxfId="41" priority="1"/>
    <cfRule type="duplicateValues" dxfId="40" priority="2"/>
    <cfRule type="duplicateValues" dxfId="39"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50"/>
  <sheetViews>
    <sheetView workbookViewId="0">
      <pane ySplit="1" topLeftCell="A53" activePane="bottomLeft" state="frozen"/>
      <selection pane="bottomLeft" activeCell="E2" sqref="E2"/>
    </sheetView>
  </sheetViews>
  <sheetFormatPr defaultColWidth="12.6640625" defaultRowHeight="15.75" customHeight="1"/>
  <cols>
    <col min="1" max="1" width="43.21875" customWidth="1"/>
    <col min="2" max="2" width="71.21875" customWidth="1"/>
    <col min="3" max="3" width="25.44140625" customWidth="1"/>
    <col min="4" max="4" width="23.6640625" customWidth="1"/>
    <col min="5" max="5" width="6.88671875" customWidth="1"/>
    <col min="6" max="6" width="9.77734375" customWidth="1"/>
    <col min="7" max="7" width="30.44140625" customWidth="1"/>
    <col min="8" max="8" width="17.33203125" customWidth="1"/>
    <col min="9" max="9" width="7.44140625" customWidth="1"/>
  </cols>
  <sheetData>
    <row r="1" spans="1:16" s="21" customFormat="1" ht="13.2">
      <c r="A1" s="19" t="s">
        <v>39</v>
      </c>
      <c r="B1" s="19" t="s">
        <v>1</v>
      </c>
      <c r="C1" s="19" t="s">
        <v>4</v>
      </c>
      <c r="D1" s="19" t="s">
        <v>5</v>
      </c>
      <c r="E1" s="22" t="s">
        <v>2</v>
      </c>
      <c r="F1" s="19" t="s">
        <v>40</v>
      </c>
      <c r="G1" s="19" t="s">
        <v>3</v>
      </c>
      <c r="H1" s="20" t="s">
        <v>68</v>
      </c>
      <c r="I1" s="19" t="s">
        <v>7</v>
      </c>
    </row>
    <row r="2" spans="1:16" ht="13.2">
      <c r="A2" s="54" t="s">
        <v>299</v>
      </c>
      <c r="B2" t="s">
        <v>95</v>
      </c>
      <c r="C2" t="s">
        <v>96</v>
      </c>
      <c r="D2" t="s">
        <v>111</v>
      </c>
      <c r="E2" s="23" t="str">
        <f>IF(D2&lt;&gt;"","IX"&amp;COUNTIF($D$2:D2,"&lt;&gt;"),"")</f>
        <v>IX1</v>
      </c>
      <c r="F2" s="12" t="s">
        <v>41</v>
      </c>
      <c r="G2" s="60" t="str">
        <f t="shared" ref="G2:G9" si="0">HYPERLINK("https://doi.org/" &amp; P2, "https://doi.org/" &amp; P2)</f>
        <v>https://doi.org/10.1109/ACCESS.2023.3258400</v>
      </c>
      <c r="H2" t="s">
        <v>127</v>
      </c>
      <c r="I2">
        <v>2023</v>
      </c>
      <c r="P2" t="s">
        <v>119</v>
      </c>
    </row>
    <row r="3" spans="1:16" ht="13.2">
      <c r="A3" s="54"/>
      <c r="B3" t="s">
        <v>97</v>
      </c>
      <c r="C3" t="s">
        <v>98</v>
      </c>
      <c r="D3" t="s">
        <v>112</v>
      </c>
      <c r="E3" s="23" t="str">
        <f>IF(D3&lt;&gt;"","IX"&amp;COUNTIF($D$2:D3,"&lt;&gt;"),"")</f>
        <v>IX2</v>
      </c>
      <c r="F3" s="12" t="s">
        <v>42</v>
      </c>
      <c r="G3" s="60" t="str">
        <f t="shared" si="0"/>
        <v>https://doi.org/10.1109/TSC.2024.3422835</v>
      </c>
      <c r="H3" t="s">
        <v>128</v>
      </c>
      <c r="I3">
        <v>2024</v>
      </c>
      <c r="P3" t="s">
        <v>120</v>
      </c>
    </row>
    <row r="4" spans="1:16" ht="13.2">
      <c r="A4" s="54"/>
      <c r="B4" t="s">
        <v>99</v>
      </c>
      <c r="C4" t="s">
        <v>100</v>
      </c>
      <c r="D4" t="s">
        <v>113</v>
      </c>
      <c r="E4" s="23" t="str">
        <f>IF(D4&lt;&gt;"","IX"&amp;COUNTIF($D$2:D4,"&lt;&gt;"),"")</f>
        <v>IX3</v>
      </c>
      <c r="F4" s="12" t="s">
        <v>41</v>
      </c>
      <c r="G4" s="60" t="str">
        <f t="shared" si="0"/>
        <v>https://doi.org/10.1109/ACCESS.2024.3493946</v>
      </c>
      <c r="H4" t="s">
        <v>129</v>
      </c>
      <c r="I4">
        <v>2024</v>
      </c>
      <c r="P4" t="s">
        <v>121</v>
      </c>
    </row>
    <row r="5" spans="1:16" ht="13.2">
      <c r="A5" s="54"/>
      <c r="B5" t="s">
        <v>101</v>
      </c>
      <c r="C5" t="s">
        <v>102</v>
      </c>
      <c r="D5" t="s">
        <v>114</v>
      </c>
      <c r="E5" s="23" t="str">
        <f>IF(D5&lt;&gt;"","IX"&amp;COUNTIF($D$2:D5,"&lt;&gt;"),"")</f>
        <v>IX4</v>
      </c>
      <c r="F5" s="12" t="s">
        <v>41</v>
      </c>
      <c r="G5" s="60" t="str">
        <f t="shared" si="0"/>
        <v>https://doi.org/10.1109/JIOT.2021.3068298</v>
      </c>
      <c r="H5" t="s">
        <v>130</v>
      </c>
      <c r="I5">
        <v>2021</v>
      </c>
      <c r="P5" t="s">
        <v>122</v>
      </c>
    </row>
    <row r="6" spans="1:16" ht="13.2">
      <c r="A6" s="54"/>
      <c r="B6" t="s">
        <v>103</v>
      </c>
      <c r="C6" t="s">
        <v>104</v>
      </c>
      <c r="D6" t="s">
        <v>115</v>
      </c>
      <c r="E6" s="23" t="str">
        <f>IF(D6&lt;&gt;"","IX"&amp;COUNTIF($D$2:D6,"&lt;&gt;"),"")</f>
        <v>IX5</v>
      </c>
      <c r="F6" s="12" t="s">
        <v>41</v>
      </c>
      <c r="G6" s="60" t="str">
        <f t="shared" si="0"/>
        <v>https://doi.org/10.1109/TIM.2025.3548782</v>
      </c>
      <c r="H6" t="s">
        <v>131</v>
      </c>
      <c r="I6">
        <v>2025</v>
      </c>
      <c r="P6" t="s">
        <v>123</v>
      </c>
    </row>
    <row r="7" spans="1:16" ht="13.2">
      <c r="A7" s="54"/>
      <c r="B7" t="s">
        <v>105</v>
      </c>
      <c r="C7" t="s">
        <v>106</v>
      </c>
      <c r="D7" t="s">
        <v>116</v>
      </c>
      <c r="E7" s="23" t="str">
        <f>IF(D7&lt;&gt;"","IX"&amp;COUNTIF($D$2:D7,"&lt;&gt;"),"")</f>
        <v>IX6</v>
      </c>
      <c r="F7" s="12" t="s">
        <v>42</v>
      </c>
      <c r="G7" s="60" t="str">
        <f t="shared" si="0"/>
        <v>https://doi.org/10.1109/JIOT.2021.3089080</v>
      </c>
      <c r="H7" t="s">
        <v>132</v>
      </c>
      <c r="I7">
        <v>2022</v>
      </c>
      <c r="P7" t="s">
        <v>124</v>
      </c>
    </row>
    <row r="8" spans="1:16" ht="13.2">
      <c r="A8" s="54"/>
      <c r="B8" t="s">
        <v>107</v>
      </c>
      <c r="C8" t="s">
        <v>108</v>
      </c>
      <c r="D8" t="s">
        <v>117</v>
      </c>
      <c r="E8" s="23" t="str">
        <f>IF(D8&lt;&gt;"","IX"&amp;COUNTIF($D$2:D8,"&lt;&gt;"),"")</f>
        <v>IX7</v>
      </c>
      <c r="F8" s="12"/>
      <c r="G8" s="60" t="str">
        <f t="shared" si="0"/>
        <v>https://doi.org/10.1109/JSEN.2020.3022564</v>
      </c>
      <c r="H8" t="s">
        <v>133</v>
      </c>
      <c r="I8">
        <v>2021</v>
      </c>
      <c r="P8" t="s">
        <v>125</v>
      </c>
    </row>
    <row r="9" spans="1:16" ht="13.2">
      <c r="A9" s="54"/>
      <c r="B9" t="s">
        <v>109</v>
      </c>
      <c r="C9" t="s">
        <v>110</v>
      </c>
      <c r="D9" t="s">
        <v>118</v>
      </c>
      <c r="E9" s="23" t="str">
        <f>IF(D9&lt;&gt;"","IX"&amp;COUNTIF($D$2:D9,"&lt;&gt;"),"")</f>
        <v>IX8</v>
      </c>
      <c r="F9" s="12"/>
      <c r="G9" s="60" t="str">
        <f t="shared" si="0"/>
        <v>https://doi.org/10.1109/OJCS.2025.3556424</v>
      </c>
      <c r="H9" t="s">
        <v>134</v>
      </c>
      <c r="I9">
        <v>2025</v>
      </c>
      <c r="P9" t="s">
        <v>126</v>
      </c>
    </row>
    <row r="10" spans="1:16" ht="17.399999999999999">
      <c r="A10" s="13"/>
      <c r="E10" s="23" t="str">
        <f>IF(D10&lt;&gt;"","IX"&amp;COUNTIF($D$2:D10,"&lt;&gt;"),"")</f>
        <v/>
      </c>
      <c r="F10" s="12"/>
      <c r="G10" s="60"/>
      <c r="H10" s="75"/>
    </row>
    <row r="11" spans="1:16" ht="13.2">
      <c r="A11" s="53" t="s">
        <v>43</v>
      </c>
      <c r="B11" t="s">
        <v>44</v>
      </c>
      <c r="C11" t="s">
        <v>45</v>
      </c>
      <c r="D11" t="s">
        <v>56</v>
      </c>
      <c r="E11" s="23" t="str">
        <f>IF(D11&lt;&gt;"","IX"&amp;COUNTIF($D$2:D11,"&lt;&gt;"),"")</f>
        <v>IX9</v>
      </c>
      <c r="F11" s="12"/>
      <c r="G11" s="60" t="str">
        <f t="shared" ref="G11:G21" si="1">HYPERLINK("https://doi.org/" &amp; P11, "https://doi.org/" &amp; P11)</f>
        <v>https://doi.org/10.1109/TIM.2022.3223141</v>
      </c>
      <c r="H11" t="s">
        <v>69</v>
      </c>
      <c r="I11">
        <v>2023</v>
      </c>
      <c r="P11" t="s">
        <v>62</v>
      </c>
    </row>
    <row r="12" spans="1:16" ht="13.2">
      <c r="A12" s="13"/>
      <c r="B12" t="s">
        <v>46</v>
      </c>
      <c r="C12" t="s">
        <v>47</v>
      </c>
      <c r="D12" t="s">
        <v>57</v>
      </c>
      <c r="E12" s="23" t="str">
        <f>IF(D12&lt;&gt;"","IX"&amp;COUNTIF($D$2:D12,"&lt;&gt;"),"")</f>
        <v>IX10</v>
      </c>
      <c r="F12" s="12"/>
      <c r="G12" s="60" t="str">
        <f t="shared" si="1"/>
        <v>https://doi.org/10.1109/ACCESS.2025.3591247</v>
      </c>
      <c r="H12" t="s">
        <v>70</v>
      </c>
      <c r="I12">
        <v>2025</v>
      </c>
      <c r="P12" t="s">
        <v>63</v>
      </c>
    </row>
    <row r="13" spans="1:16" ht="13.2">
      <c r="A13" s="13"/>
      <c r="B13" t="s">
        <v>48</v>
      </c>
      <c r="C13" t="s">
        <v>49</v>
      </c>
      <c r="D13" t="s">
        <v>58</v>
      </c>
      <c r="E13" s="23" t="str">
        <f>IF(D13&lt;&gt;"","IX"&amp;COUNTIF($D$2:D13,"&lt;&gt;"),"")</f>
        <v>IX11</v>
      </c>
      <c r="F13" s="12"/>
      <c r="G13" s="60" t="str">
        <f t="shared" si="1"/>
        <v>https://doi.org/10.1109/TBIOM.2020.2973504</v>
      </c>
      <c r="H13" t="s">
        <v>71</v>
      </c>
      <c r="I13">
        <v>2020</v>
      </c>
      <c r="P13" t="s">
        <v>64</v>
      </c>
    </row>
    <row r="14" spans="1:16" ht="13.2">
      <c r="A14" s="13"/>
      <c r="B14" t="s">
        <v>50</v>
      </c>
      <c r="C14" t="s">
        <v>51</v>
      </c>
      <c r="D14" t="s">
        <v>59</v>
      </c>
      <c r="E14" s="23" t="str">
        <f>IF(D14&lt;&gt;"","IX"&amp;COUNTIF($D$2:D14,"&lt;&gt;"),"")</f>
        <v>IX12</v>
      </c>
      <c r="F14" s="12"/>
      <c r="G14" s="60" t="str">
        <f t="shared" si="1"/>
        <v>https://doi.org/10.1109/TIFS.2024.3388976</v>
      </c>
      <c r="H14" t="s">
        <v>72</v>
      </c>
      <c r="I14">
        <v>2024</v>
      </c>
      <c r="P14" t="s">
        <v>65</v>
      </c>
    </row>
    <row r="15" spans="1:16" ht="13.2">
      <c r="A15" s="13"/>
      <c r="B15" t="s">
        <v>52</v>
      </c>
      <c r="C15" t="s">
        <v>53</v>
      </c>
      <c r="D15" t="s">
        <v>60</v>
      </c>
      <c r="E15" s="23" t="str">
        <f>IF(D15&lt;&gt;"","IX"&amp;COUNTIF($D$2:D15,"&lt;&gt;"),"")</f>
        <v>IX13</v>
      </c>
      <c r="F15" s="12"/>
      <c r="G15" s="60" t="str">
        <f t="shared" si="1"/>
        <v>https://doi.org/10.1109/TCSVT.2021.3078517</v>
      </c>
      <c r="H15" t="s">
        <v>73</v>
      </c>
      <c r="I15">
        <v>2022</v>
      </c>
      <c r="P15" t="s">
        <v>66</v>
      </c>
    </row>
    <row r="16" spans="1:16" ht="13.2">
      <c r="A16" s="13"/>
      <c r="B16" t="s">
        <v>54</v>
      </c>
      <c r="C16" t="s">
        <v>55</v>
      </c>
      <c r="D16" t="s">
        <v>61</v>
      </c>
      <c r="E16" s="23" t="str">
        <f>IF(D16&lt;&gt;"","IX"&amp;COUNTIF($D$2:D16,"&lt;&gt;"),"")</f>
        <v>IX14</v>
      </c>
      <c r="F16" s="12"/>
      <c r="G16" s="60" t="str">
        <f t="shared" si="1"/>
        <v>https://doi.org/10.1109/TII.2024.3396268</v>
      </c>
      <c r="H16" t="s">
        <v>74</v>
      </c>
      <c r="I16">
        <v>2024</v>
      </c>
      <c r="P16" t="s">
        <v>67</v>
      </c>
    </row>
    <row r="17" spans="1:29" ht="13.2">
      <c r="A17" s="13"/>
      <c r="B17" t="s">
        <v>75</v>
      </c>
      <c r="C17" t="s">
        <v>76</v>
      </c>
      <c r="D17" t="s">
        <v>77</v>
      </c>
      <c r="E17" s="23" t="str">
        <f>IF(D17&lt;&gt;"","IX"&amp;COUNTIF($D$2:D17,"&lt;&gt;"),"")</f>
        <v>IX15</v>
      </c>
      <c r="F17" s="12"/>
      <c r="G17" s="60" t="str">
        <f t="shared" si="1"/>
        <v>https://doi.org/10.1109/TPAMI.2021.3123085</v>
      </c>
      <c r="H17" t="s">
        <v>91</v>
      </c>
      <c r="I17">
        <v>2022</v>
      </c>
      <c r="P17" t="s">
        <v>87</v>
      </c>
      <c r="Q17" s="5"/>
      <c r="R17" s="5"/>
      <c r="S17" s="5"/>
      <c r="T17" s="5"/>
      <c r="U17" s="5"/>
      <c r="V17" s="5"/>
      <c r="W17" s="5"/>
      <c r="X17" s="5"/>
      <c r="Y17" s="5"/>
      <c r="Z17" s="5"/>
      <c r="AA17" s="5"/>
      <c r="AB17" s="5"/>
      <c r="AC17" s="5"/>
    </row>
    <row r="18" spans="1:29" ht="13.2">
      <c r="A18" s="13"/>
      <c r="B18" t="s">
        <v>78</v>
      </c>
      <c r="C18" t="s">
        <v>79</v>
      </c>
      <c r="D18" t="s">
        <v>84</v>
      </c>
      <c r="E18" s="23" t="str">
        <f>IF(D18&lt;&gt;"","IX"&amp;COUNTIF($D$2:D18,"&lt;&gt;"),"")</f>
        <v>IX16</v>
      </c>
      <c r="F18" s="12"/>
      <c r="G18" s="60" t="str">
        <f t="shared" si="1"/>
        <v>https://doi.org/10.1109/TIFS.2022.3146766</v>
      </c>
      <c r="H18" t="s">
        <v>92</v>
      </c>
      <c r="I18">
        <v>2022</v>
      </c>
      <c r="P18" t="s">
        <v>88</v>
      </c>
    </row>
    <row r="19" spans="1:29" ht="13.2">
      <c r="A19" s="13"/>
      <c r="B19" t="s">
        <v>80</v>
      </c>
      <c r="C19" t="s">
        <v>81</v>
      </c>
      <c r="D19" t="s">
        <v>85</v>
      </c>
      <c r="E19" s="23" t="str">
        <f>IF(D19&lt;&gt;"","IX"&amp;COUNTIF($D$2:D19,"&lt;&gt;"),"")</f>
        <v>IX17</v>
      </c>
      <c r="F19" s="12"/>
      <c r="G19" s="60" t="str">
        <f t="shared" si="1"/>
        <v>https://doi.org/10.1109/ACCESS.2024.3519441</v>
      </c>
      <c r="H19" t="s">
        <v>93</v>
      </c>
      <c r="I19">
        <v>2025</v>
      </c>
      <c r="J19" s="15"/>
      <c r="P19" t="s">
        <v>89</v>
      </c>
    </row>
    <row r="20" spans="1:29" ht="13.2">
      <c r="A20" s="13"/>
      <c r="B20" t="s">
        <v>82</v>
      </c>
      <c r="C20" t="s">
        <v>83</v>
      </c>
      <c r="D20" t="s">
        <v>86</v>
      </c>
      <c r="E20" s="23" t="str">
        <f>IF(D20&lt;&gt;"","IX"&amp;COUNTIF($D$2:D20,"&lt;&gt;"),"")</f>
        <v>IX18</v>
      </c>
      <c r="F20" s="12"/>
      <c r="G20" s="60" t="str">
        <f t="shared" si="1"/>
        <v>https://doi.org/10.1109/TBIOM.2022.3169697</v>
      </c>
      <c r="H20" t="s">
        <v>94</v>
      </c>
      <c r="I20">
        <v>2022</v>
      </c>
      <c r="J20" s="76"/>
      <c r="P20" t="s">
        <v>90</v>
      </c>
    </row>
    <row r="21" spans="1:29" ht="13.2">
      <c r="A21" s="57"/>
      <c r="B21" s="24"/>
      <c r="C21" s="24"/>
      <c r="D21" s="25"/>
      <c r="E21" s="23" t="str">
        <f>IF(D21&lt;&gt;"","IX"&amp;COUNTIF($D$2:D21,"&lt;&gt;"),"")</f>
        <v/>
      </c>
      <c r="F21" s="12"/>
      <c r="G21" s="60" t="str">
        <f t="shared" si="1"/>
        <v>https://doi.org/</v>
      </c>
      <c r="H21" s="15"/>
      <c r="I21" s="5"/>
    </row>
    <row r="22" spans="1:29" ht="13.2">
      <c r="A22" s="57" t="s">
        <v>135</v>
      </c>
      <c r="B22" t="s">
        <v>136</v>
      </c>
      <c r="C22" t="s">
        <v>137</v>
      </c>
      <c r="D22" t="s">
        <v>150</v>
      </c>
      <c r="E22" s="23" t="str">
        <f>IF(D22&lt;&gt;"","IX"&amp;COUNTIF($D$2:D22,"&lt;&gt;"),"")</f>
        <v>IX19</v>
      </c>
      <c r="G22" s="60" t="str">
        <f t="shared" ref="G22:G28" si="2">HYPERLINK("https://doi.org/" &amp; P22, "https://doi.org/" &amp; P22)</f>
        <v>https://doi.org/10.1109/IPCV57033.2023.00029</v>
      </c>
      <c r="H22" t="s">
        <v>164</v>
      </c>
      <c r="I22">
        <v>2023</v>
      </c>
      <c r="P22" t="s">
        <v>157</v>
      </c>
    </row>
    <row r="23" spans="1:29" ht="13.2">
      <c r="A23" s="57"/>
      <c r="B23" t="s">
        <v>138</v>
      </c>
      <c r="C23" t="s">
        <v>139</v>
      </c>
      <c r="D23" t="s">
        <v>151</v>
      </c>
      <c r="E23" s="23" t="str">
        <f>IF(D23&lt;&gt;"","IX"&amp;COUNTIF($D$2:D23,"&lt;&gt;"),"")</f>
        <v>IX20</v>
      </c>
      <c r="G23" s="60" t="str">
        <f t="shared" si="2"/>
        <v>https://doi.org/10.1109/EDKCON62339.2024.10870779</v>
      </c>
      <c r="H23" t="s">
        <v>165</v>
      </c>
      <c r="I23">
        <v>2024</v>
      </c>
      <c r="P23" t="s">
        <v>158</v>
      </c>
    </row>
    <row r="24" spans="1:29" ht="13.2">
      <c r="A24" s="57"/>
      <c r="B24" t="s">
        <v>140</v>
      </c>
      <c r="C24" t="s">
        <v>141</v>
      </c>
      <c r="D24" t="s">
        <v>152</v>
      </c>
      <c r="E24" s="23" t="str">
        <f>IF(D24&lt;&gt;"","IX"&amp;COUNTIF($D$2:D24,"&lt;&gt;"),"")</f>
        <v>IX21</v>
      </c>
      <c r="G24" s="60" t="str">
        <f t="shared" si="2"/>
        <v>https://doi.org/10.1109/IAICT62357.2024.10617839</v>
      </c>
      <c r="H24" t="s">
        <v>166</v>
      </c>
      <c r="I24">
        <v>2024</v>
      </c>
      <c r="P24" t="s">
        <v>159</v>
      </c>
    </row>
    <row r="25" spans="1:29" ht="13.2">
      <c r="A25" s="57"/>
      <c r="B25" t="s">
        <v>142</v>
      </c>
      <c r="C25" t="s">
        <v>143</v>
      </c>
      <c r="D25" t="s">
        <v>153</v>
      </c>
      <c r="E25" s="23" t="str">
        <f>IF(D25&lt;&gt;"","IX"&amp;COUNTIF($D$2:D25,"&lt;&gt;"),"")</f>
        <v>IX22</v>
      </c>
      <c r="G25" s="60" t="str">
        <f t="shared" si="2"/>
        <v>https://doi.org/10.1109/ICSP62122.2024.10743933</v>
      </c>
      <c r="H25" t="s">
        <v>167</v>
      </c>
      <c r="I25">
        <v>2024</v>
      </c>
      <c r="P25" t="s">
        <v>160</v>
      </c>
    </row>
    <row r="26" spans="1:29" ht="13.2">
      <c r="A26" s="57"/>
      <c r="B26" t="s">
        <v>144</v>
      </c>
      <c r="C26" t="s">
        <v>145</v>
      </c>
      <c r="D26" t="s">
        <v>154</v>
      </c>
      <c r="E26" s="23" t="str">
        <f>IF(D26&lt;&gt;"","IX"&amp;COUNTIF($D$2:D26,"&lt;&gt;"),"")</f>
        <v>IX23</v>
      </c>
      <c r="G26" s="60" t="str">
        <f t="shared" si="2"/>
        <v>https://doi.org/10.1109/UYMS54260.2021.9659743</v>
      </c>
      <c r="H26" t="s">
        <v>168</v>
      </c>
      <c r="I26">
        <v>2021</v>
      </c>
      <c r="P26" t="s">
        <v>161</v>
      </c>
    </row>
    <row r="27" spans="1:29" ht="13.2">
      <c r="A27" s="57"/>
      <c r="B27" t="s">
        <v>146</v>
      </c>
      <c r="C27" t="s">
        <v>147</v>
      </c>
      <c r="D27" t="s">
        <v>155</v>
      </c>
      <c r="E27" s="23" t="str">
        <f>IF(D27&lt;&gt;"","IX"&amp;COUNTIF($D$2:D27,"&lt;&gt;"),"")</f>
        <v>IX24</v>
      </c>
      <c r="G27" s="60" t="str">
        <f t="shared" si="2"/>
        <v>https://doi.org/10.1109/CCISP63826.2024.10765506</v>
      </c>
      <c r="H27" t="s">
        <v>169</v>
      </c>
      <c r="I27">
        <v>2024</v>
      </c>
      <c r="P27" t="s">
        <v>162</v>
      </c>
    </row>
    <row r="28" spans="1:29" ht="13.2">
      <c r="A28" s="57"/>
      <c r="B28" t="s">
        <v>148</v>
      </c>
      <c r="C28" t="s">
        <v>149</v>
      </c>
      <c r="D28" t="s">
        <v>156</v>
      </c>
      <c r="E28" s="23" t="str">
        <f>IF(D28&lt;&gt;"","IX"&amp;COUNTIF($D$2:D28,"&lt;&gt;"),"")</f>
        <v>IX25</v>
      </c>
      <c r="G28" s="60" t="str">
        <f t="shared" si="2"/>
        <v>https://doi.org/10.1109/IPEC57296.2023.00019</v>
      </c>
      <c r="H28" t="s">
        <v>170</v>
      </c>
      <c r="I28">
        <v>2023</v>
      </c>
      <c r="P28" t="s">
        <v>163</v>
      </c>
    </row>
    <row r="29" spans="1:29" ht="13.2">
      <c r="A29" s="57"/>
      <c r="B29" t="s">
        <v>171</v>
      </c>
      <c r="C29" t="s">
        <v>172</v>
      </c>
      <c r="D29" t="s">
        <v>173</v>
      </c>
      <c r="E29" s="23" t="str">
        <f>IF(D29&lt;&gt;"","IX"&amp;COUNTIF($D$2:D29,"&lt;&gt;"),"")</f>
        <v>IX26</v>
      </c>
      <c r="G29" s="60" t="str">
        <f t="shared" ref="G29:G35" si="3">HYPERLINK("https://doi.org/" &amp; P29, "https://doi.org/" &amp; P29)</f>
        <v>https://doi.org/10.1109/LRA.2024.3392083</v>
      </c>
      <c r="H29" t="s">
        <v>175</v>
      </c>
      <c r="I29">
        <v>2024</v>
      </c>
      <c r="P29" t="s">
        <v>174</v>
      </c>
    </row>
    <row r="30" spans="1:29" ht="13.2">
      <c r="A30" s="57"/>
      <c r="B30" t="s">
        <v>176</v>
      </c>
      <c r="C30" t="s">
        <v>177</v>
      </c>
      <c r="D30" t="s">
        <v>178</v>
      </c>
      <c r="E30" s="23" t="str">
        <f>IF(D30&lt;&gt;"","IX"&amp;COUNTIF($D$2:D30,"&lt;&gt;"),"")</f>
        <v>IX27</v>
      </c>
      <c r="G30" s="60" t="str">
        <f t="shared" si="3"/>
        <v>https://doi.org/10.1109/ACCESS.2023.3336592</v>
      </c>
      <c r="H30" t="s">
        <v>180</v>
      </c>
      <c r="I30">
        <v>2023</v>
      </c>
      <c r="P30" t="s">
        <v>179</v>
      </c>
    </row>
    <row r="31" spans="1:29" ht="13.2">
      <c r="A31" s="57"/>
      <c r="B31" t="s">
        <v>181</v>
      </c>
      <c r="C31" t="s">
        <v>182</v>
      </c>
      <c r="D31" t="s">
        <v>183</v>
      </c>
      <c r="E31" s="23" t="str">
        <f>IF(D31&lt;&gt;"","IX"&amp;COUNTIF($D$2:D31,"&lt;&gt;"),"")</f>
        <v>IX28</v>
      </c>
      <c r="G31" s="60" t="str">
        <f t="shared" si="3"/>
        <v>https://doi.org/10.1109/ACCESS.2024.3495505</v>
      </c>
      <c r="H31" t="s">
        <v>185</v>
      </c>
      <c r="I31">
        <v>2024</v>
      </c>
      <c r="P31" t="s">
        <v>184</v>
      </c>
    </row>
    <row r="32" spans="1:29" ht="13.2">
      <c r="A32" s="57"/>
      <c r="B32" t="s">
        <v>186</v>
      </c>
      <c r="C32" t="s">
        <v>187</v>
      </c>
      <c r="D32" t="s">
        <v>188</v>
      </c>
      <c r="E32" s="23" t="str">
        <f>IF(D32&lt;&gt;"","IX"&amp;COUNTIF($D$2:D32,"&lt;&gt;"),"")</f>
        <v>IX29</v>
      </c>
      <c r="G32" s="60" t="str">
        <f t="shared" si="3"/>
        <v>https://doi.org/10.1109/ACCESS.2024.3434987</v>
      </c>
      <c r="H32" t="s">
        <v>190</v>
      </c>
      <c r="I32">
        <v>2024</v>
      </c>
      <c r="P32" t="s">
        <v>189</v>
      </c>
    </row>
    <row r="33" spans="1:16" ht="13.2">
      <c r="A33" s="57"/>
      <c r="B33" t="s">
        <v>191</v>
      </c>
      <c r="C33" t="s">
        <v>192</v>
      </c>
      <c r="D33" t="s">
        <v>193</v>
      </c>
      <c r="E33" s="23" t="str">
        <f>IF(D33&lt;&gt;"","IX"&amp;COUNTIF($D$2:D33,"&lt;&gt;"),"")</f>
        <v>IX30</v>
      </c>
      <c r="G33" s="60" t="str">
        <f t="shared" si="3"/>
        <v>https://doi.org/10.1109/OJITS.2024.3507917</v>
      </c>
      <c r="H33" t="s">
        <v>195</v>
      </c>
      <c r="I33">
        <v>2024</v>
      </c>
      <c r="P33" t="s">
        <v>194</v>
      </c>
    </row>
    <row r="34" spans="1:16" ht="13.2">
      <c r="A34" s="57"/>
      <c r="B34" t="s">
        <v>196</v>
      </c>
      <c r="C34" t="s">
        <v>197</v>
      </c>
      <c r="D34" t="s">
        <v>198</v>
      </c>
      <c r="E34" s="23" t="str">
        <f>IF(D34&lt;&gt;"","IX"&amp;COUNTIF($D$2:D34,"&lt;&gt;"),"")</f>
        <v>IX31</v>
      </c>
      <c r="G34" s="60" t="str">
        <f t="shared" si="3"/>
        <v>https://doi.org/10.1109/JIOT.2025.3569735</v>
      </c>
      <c r="H34" t="s">
        <v>200</v>
      </c>
      <c r="I34">
        <v>2025</v>
      </c>
      <c r="J34" s="76"/>
      <c r="P34" t="s">
        <v>199</v>
      </c>
    </row>
    <row r="35" spans="1:16" ht="13.2">
      <c r="A35" s="57"/>
      <c r="B35" t="s">
        <v>201</v>
      </c>
      <c r="C35" t="s">
        <v>202</v>
      </c>
      <c r="D35" t="s">
        <v>203</v>
      </c>
      <c r="E35" s="23" t="str">
        <f>IF(D35&lt;&gt;"","IX"&amp;COUNTIF($D$2:D35,"&lt;&gt;"),"")</f>
        <v>IX32</v>
      </c>
      <c r="G35" s="60" t="str">
        <f t="shared" si="3"/>
        <v>https://doi.org/10.1109/TPAMI.2021.3076733</v>
      </c>
      <c r="H35" t="s">
        <v>205</v>
      </c>
      <c r="I35">
        <v>2022</v>
      </c>
      <c r="P35" t="s">
        <v>204</v>
      </c>
    </row>
    <row r="36" spans="1:16" ht="13.2">
      <c r="A36" s="57"/>
      <c r="B36" s="28"/>
      <c r="C36" s="28"/>
      <c r="D36" s="77"/>
      <c r="E36" s="23" t="str">
        <f>IF(D36&lt;&gt;"","IX"&amp;COUNTIF($D$2:D36,"&lt;&gt;"),"")</f>
        <v/>
      </c>
      <c r="F36" s="12"/>
      <c r="G36" s="60" t="str">
        <f>HYPERLINK("https://doi.org/" &amp; P36, "https://doi.org/" &amp; P36)</f>
        <v>https://doi.org/</v>
      </c>
      <c r="H36" s="15"/>
    </row>
    <row r="37" spans="1:16" ht="13.2">
      <c r="A37" s="58" t="s">
        <v>231</v>
      </c>
      <c r="B37" t="s">
        <v>206</v>
      </c>
      <c r="C37" t="s">
        <v>207</v>
      </c>
      <c r="D37" t="s">
        <v>216</v>
      </c>
      <c r="E37" s="23" t="str">
        <f>IF(D37&lt;&gt;"","IX"&amp;COUNTIF($D$2:D37,"&lt;&gt;"),"")</f>
        <v>IX33</v>
      </c>
      <c r="G37" s="60" t="str">
        <f t="shared" ref="G37:G56" si="4">HYPERLINK("https://doi.org/" &amp; P37, "https://doi.org/" &amp; P37)</f>
        <v>https://doi.org/10.1109/TIFS.2022.3189532</v>
      </c>
      <c r="H37" t="s">
        <v>226</v>
      </c>
      <c r="I37">
        <v>2022</v>
      </c>
      <c r="P37" t="s">
        <v>221</v>
      </c>
    </row>
    <row r="38" spans="1:16" ht="13.2">
      <c r="A38" s="57"/>
      <c r="B38" t="s">
        <v>208</v>
      </c>
      <c r="C38" t="s">
        <v>209</v>
      </c>
      <c r="D38" t="s">
        <v>217</v>
      </c>
      <c r="E38" s="23" t="str">
        <f>IF(D38&lt;&gt;"","IX"&amp;COUNTIF($D$2:D38,"&lt;&gt;"),"")</f>
        <v>IX34</v>
      </c>
      <c r="G38" s="60" t="str">
        <f t="shared" si="4"/>
        <v>https://doi.org/10.1109/ACCESS.2024.3502909</v>
      </c>
      <c r="H38" t="s">
        <v>227</v>
      </c>
      <c r="I38">
        <v>2024</v>
      </c>
      <c r="P38" t="s">
        <v>222</v>
      </c>
    </row>
    <row r="39" spans="1:16" ht="13.2">
      <c r="A39" s="57"/>
      <c r="B39" t="s">
        <v>210</v>
      </c>
      <c r="C39" t="s">
        <v>211</v>
      </c>
      <c r="D39" t="s">
        <v>218</v>
      </c>
      <c r="E39" s="23" t="str">
        <f>IF(D39&lt;&gt;"","IX"&amp;COUNTIF($D$2:D39,"&lt;&gt;"),"")</f>
        <v>IX35</v>
      </c>
      <c r="G39" s="60" t="str">
        <f t="shared" si="4"/>
        <v>https://doi.org/10.1109/JIOT.2025.3530247</v>
      </c>
      <c r="H39" t="s">
        <v>228</v>
      </c>
      <c r="I39">
        <v>2025</v>
      </c>
      <c r="P39" t="s">
        <v>223</v>
      </c>
    </row>
    <row r="40" spans="1:16" ht="13.2">
      <c r="A40" s="13"/>
      <c r="B40" t="s">
        <v>212</v>
      </c>
      <c r="C40" t="s">
        <v>213</v>
      </c>
      <c r="D40" t="s">
        <v>219</v>
      </c>
      <c r="E40" s="23" t="str">
        <f>IF(D40&lt;&gt;"","IX"&amp;COUNTIF($D$2:D40,"&lt;&gt;"),"")</f>
        <v>IX36</v>
      </c>
      <c r="G40" s="60" t="str">
        <f t="shared" si="4"/>
        <v>https://doi.org/10.1109/TIT.2024.3452105</v>
      </c>
      <c r="H40" t="s">
        <v>229</v>
      </c>
      <c r="I40">
        <v>2024</v>
      </c>
      <c r="P40" t="s">
        <v>224</v>
      </c>
    </row>
    <row r="41" spans="1:16" ht="13.2">
      <c r="A41" s="13"/>
      <c r="B41" t="s">
        <v>214</v>
      </c>
      <c r="C41" t="s">
        <v>215</v>
      </c>
      <c r="D41" t="s">
        <v>220</v>
      </c>
      <c r="E41" s="23" t="str">
        <f>IF(D41&lt;&gt;"","IX"&amp;COUNTIF($D$2:D41,"&lt;&gt;"),"")</f>
        <v>IX37</v>
      </c>
      <c r="G41" s="60" t="str">
        <f t="shared" si="4"/>
        <v>https://doi.org/10.1109/TDSC.2025.3574745</v>
      </c>
      <c r="H41" t="s">
        <v>230</v>
      </c>
      <c r="I41">
        <v>2025</v>
      </c>
      <c r="P41" t="s">
        <v>225</v>
      </c>
    </row>
    <row r="42" spans="1:16" ht="13.2">
      <c r="A42" s="13"/>
      <c r="B42" s="28"/>
      <c r="D42" s="28"/>
      <c r="E42" s="23" t="str">
        <f>IF(D42&lt;&gt;"","IX"&amp;COUNTIF($D$2:D42,"&lt;&gt;"),"")</f>
        <v/>
      </c>
      <c r="F42" s="12"/>
      <c r="G42" s="60" t="str">
        <f t="shared" si="4"/>
        <v>https://doi.org/</v>
      </c>
      <c r="I42" s="5"/>
    </row>
    <row r="43" spans="1:16" ht="13.2">
      <c r="A43" s="53" t="s">
        <v>262</v>
      </c>
      <c r="B43" t="s">
        <v>232</v>
      </c>
      <c r="C43" t="s">
        <v>233</v>
      </c>
      <c r="D43" t="s">
        <v>234</v>
      </c>
      <c r="E43" s="23" t="str">
        <f>IF(D43&lt;&gt;"","IX"&amp;COUNTIF($D$2:D43,"&lt;&gt;"),"")</f>
        <v>IX38</v>
      </c>
      <c r="G43" s="60" t="str">
        <f t="shared" si="4"/>
        <v>https://doi.org/10.1109/IV64158.2025.11097691</v>
      </c>
      <c r="H43" t="s">
        <v>256</v>
      </c>
      <c r="I43">
        <v>2025</v>
      </c>
      <c r="P43" t="s">
        <v>235</v>
      </c>
    </row>
    <row r="44" spans="1:16" ht="13.2">
      <c r="A44" s="13"/>
      <c r="B44" t="s">
        <v>236</v>
      </c>
      <c r="C44" t="s">
        <v>237</v>
      </c>
      <c r="D44" t="s">
        <v>238</v>
      </c>
      <c r="E44" s="23" t="str">
        <f>IF(D44&lt;&gt;"","IX"&amp;COUNTIF($D$2:D44,"&lt;&gt;"),"")</f>
        <v>IX39</v>
      </c>
      <c r="G44" s="60" t="str">
        <f t="shared" si="4"/>
        <v>https://doi.org/10.1109/ICMTMA52658.2021.00196</v>
      </c>
      <c r="H44" t="s">
        <v>257</v>
      </c>
      <c r="I44">
        <v>2021</v>
      </c>
      <c r="P44" t="s">
        <v>239</v>
      </c>
    </row>
    <row r="45" spans="1:16" ht="13.2">
      <c r="A45" s="13"/>
      <c r="B45" t="s">
        <v>240</v>
      </c>
      <c r="C45" t="s">
        <v>241</v>
      </c>
      <c r="D45" t="s">
        <v>242</v>
      </c>
      <c r="E45" s="23" t="str">
        <f>IF(D45&lt;&gt;"","IX"&amp;COUNTIF($D$2:D45,"&lt;&gt;"),"")</f>
        <v>IX40</v>
      </c>
      <c r="G45" s="60" t="str">
        <f t="shared" si="4"/>
        <v>https://doi.org/10.1109/ISBI60581.2025.10980951</v>
      </c>
      <c r="H45" t="s">
        <v>258</v>
      </c>
      <c r="I45">
        <v>2025</v>
      </c>
      <c r="P45" t="s">
        <v>243</v>
      </c>
    </row>
    <row r="46" spans="1:16" ht="13.2">
      <c r="A46" s="13"/>
      <c r="B46" t="s">
        <v>244</v>
      </c>
      <c r="C46" t="s">
        <v>245</v>
      </c>
      <c r="D46" t="s">
        <v>248</v>
      </c>
      <c r="E46" s="23" t="str">
        <f>IF(D46&lt;&gt;"","IX"&amp;COUNTIF($D$2:D46,"&lt;&gt;"),"")</f>
        <v>IX41</v>
      </c>
      <c r="G46" s="60" t="str">
        <f t="shared" si="4"/>
        <v>https://doi.org/10.1109/ICPE59729.2023.10468796</v>
      </c>
      <c r="H46" t="s">
        <v>259</v>
      </c>
      <c r="I46">
        <v>2023</v>
      </c>
      <c r="P46" t="s">
        <v>250</v>
      </c>
    </row>
    <row r="47" spans="1:16" ht="13.2">
      <c r="A47" s="13"/>
      <c r="B47" t="s">
        <v>246</v>
      </c>
      <c r="C47" t="s">
        <v>247</v>
      </c>
      <c r="D47" t="s">
        <v>249</v>
      </c>
      <c r="E47" s="23" t="str">
        <f>IF(D47&lt;&gt;"","IX"&amp;COUNTIF($D$2:D47,"&lt;&gt;"),"")</f>
        <v>IX42</v>
      </c>
      <c r="G47" s="60" t="str">
        <f t="shared" si="4"/>
        <v>https://doi.org/10.1109/TASE.2024.3382200</v>
      </c>
      <c r="H47" t="s">
        <v>260</v>
      </c>
      <c r="I47">
        <v>2025</v>
      </c>
      <c r="P47" t="s">
        <v>251</v>
      </c>
    </row>
    <row r="48" spans="1:16" ht="13.2">
      <c r="A48" s="13"/>
      <c r="B48" t="s">
        <v>252</v>
      </c>
      <c r="C48" t="s">
        <v>253</v>
      </c>
      <c r="D48" t="s">
        <v>254</v>
      </c>
      <c r="E48" s="23" t="str">
        <f>IF(D48&lt;&gt;"","IX"&amp;COUNTIF($D$2:D48,"&lt;&gt;"),"")</f>
        <v>IX43</v>
      </c>
      <c r="G48" s="60" t="str">
        <f t="shared" si="4"/>
        <v>https://doi.org/10.1109/BigMM52142.2021.00011</v>
      </c>
      <c r="H48" t="s">
        <v>261</v>
      </c>
      <c r="I48">
        <v>2021</v>
      </c>
      <c r="P48" t="s">
        <v>255</v>
      </c>
    </row>
    <row r="49" spans="1:16" ht="13.2">
      <c r="A49" s="13"/>
      <c r="B49" s="24"/>
      <c r="C49" s="24"/>
      <c r="D49" s="28"/>
      <c r="E49" s="23" t="str">
        <f>IF(D49&lt;&gt;"","IX"&amp;COUNTIF($D$2:D49,"&lt;&gt;"),"")</f>
        <v/>
      </c>
      <c r="F49" s="12"/>
      <c r="G49" s="60" t="str">
        <f t="shared" si="4"/>
        <v>https://doi.org/</v>
      </c>
      <c r="H49" s="5"/>
      <c r="I49" s="5"/>
    </row>
    <row r="50" spans="1:16" ht="13.2">
      <c r="A50" s="53" t="s">
        <v>298</v>
      </c>
      <c r="B50" t="s">
        <v>263</v>
      </c>
      <c r="C50" t="s">
        <v>264</v>
      </c>
      <c r="D50" t="s">
        <v>277</v>
      </c>
      <c r="E50" s="23" t="str">
        <f>IF(D50&lt;&gt;"","IX"&amp;COUNTIF($D$2:D50,"&lt;&gt;"),"")</f>
        <v>IX44</v>
      </c>
      <c r="G50" s="60" t="str">
        <f t="shared" si="4"/>
        <v>https://doi.org/10.1109/ETHICS65148.2025.11098410</v>
      </c>
      <c r="H50" t="s">
        <v>291</v>
      </c>
      <c r="I50">
        <v>2025</v>
      </c>
      <c r="P50" t="s">
        <v>284</v>
      </c>
    </row>
    <row r="51" spans="1:16" ht="13.2">
      <c r="A51" s="13"/>
      <c r="B51" t="s">
        <v>265</v>
      </c>
      <c r="C51" t="s">
        <v>266</v>
      </c>
      <c r="D51" t="s">
        <v>278</v>
      </c>
      <c r="E51" s="23" t="str">
        <f>IF(D51&lt;&gt;"","IX"&amp;COUNTIF($D$2:D51,"&lt;&gt;"),"")</f>
        <v>IX45</v>
      </c>
      <c r="G51" s="60" t="str">
        <f t="shared" si="4"/>
        <v>https://doi.org/10.1109/ETHICS57328.2023.10155062</v>
      </c>
      <c r="H51" t="s">
        <v>292</v>
      </c>
      <c r="I51">
        <v>2023</v>
      </c>
      <c r="P51" t="s">
        <v>285</v>
      </c>
    </row>
    <row r="52" spans="1:16" ht="19.8" customHeight="1">
      <c r="A52" s="13"/>
      <c r="B52" t="s">
        <v>267</v>
      </c>
      <c r="C52" t="s">
        <v>268</v>
      </c>
      <c r="D52" t="s">
        <v>279</v>
      </c>
      <c r="E52" s="23" t="str">
        <f>IF(D52&lt;&gt;"","IX"&amp;COUNTIF($D$2:D52,"&lt;&gt;"),"")</f>
        <v>IX46</v>
      </c>
      <c r="G52" s="18" t="str">
        <f t="shared" si="4"/>
        <v>https://doi.org/10.1109/ETHICS57328.2023.10155069</v>
      </c>
      <c r="H52" t="s">
        <v>293</v>
      </c>
      <c r="I52">
        <v>2023</v>
      </c>
      <c r="P52" t="s">
        <v>286</v>
      </c>
    </row>
    <row r="53" spans="1:16" ht="18.600000000000001" customHeight="1">
      <c r="A53" s="13"/>
      <c r="B53" t="s">
        <v>269</v>
      </c>
      <c r="C53" t="s">
        <v>270</v>
      </c>
      <c r="D53" t="s">
        <v>280</v>
      </c>
      <c r="E53" s="23" t="str">
        <f>IF(D53&lt;&gt;"","IX"&amp;COUNTIF($D$2:D53,"&lt;&gt;"),"")</f>
        <v>IX47</v>
      </c>
      <c r="G53" s="18" t="str">
        <f t="shared" si="4"/>
        <v>https://doi.org/10.1109/CSDE59766.2023.10487710</v>
      </c>
      <c r="H53" t="s">
        <v>294</v>
      </c>
      <c r="I53">
        <v>2023</v>
      </c>
      <c r="P53" t="s">
        <v>287</v>
      </c>
    </row>
    <row r="54" spans="1:16" ht="13.2">
      <c r="A54" s="13"/>
      <c r="B54" t="s">
        <v>271</v>
      </c>
      <c r="C54" t="s">
        <v>272</v>
      </c>
      <c r="D54" t="s">
        <v>281</v>
      </c>
      <c r="E54" s="23" t="str">
        <f>IF(D54&lt;&gt;"","IX"&amp;COUNTIF($D$2:D54,"&lt;&gt;"),"")</f>
        <v>IX48</v>
      </c>
      <c r="G54" s="18" t="str">
        <f t="shared" si="4"/>
        <v>https://doi.org/10.1109/ETHICS57328.2023.10155071</v>
      </c>
      <c r="H54" t="s">
        <v>295</v>
      </c>
      <c r="I54">
        <v>2023</v>
      </c>
      <c r="P54" t="s">
        <v>288</v>
      </c>
    </row>
    <row r="55" spans="1:16" ht="13.2">
      <c r="A55" s="13"/>
      <c r="B55" t="s">
        <v>273</v>
      </c>
      <c r="C55" t="s">
        <v>274</v>
      </c>
      <c r="D55" t="s">
        <v>282</v>
      </c>
      <c r="E55" s="23" t="str">
        <f>IF(D55&lt;&gt;"","IX"&amp;COUNTIF($D$2:D55,"&lt;&gt;"),"")</f>
        <v>IX49</v>
      </c>
      <c r="G55" s="18" t="str">
        <f t="shared" si="4"/>
        <v>https://doi.org/10.1109/ETHICS65148.2025.11098311</v>
      </c>
      <c r="H55" t="s">
        <v>296</v>
      </c>
      <c r="I55">
        <v>2025</v>
      </c>
      <c r="P55" t="s">
        <v>289</v>
      </c>
    </row>
    <row r="56" spans="1:16" ht="13.2">
      <c r="A56" s="13"/>
      <c r="B56" t="s">
        <v>275</v>
      </c>
      <c r="C56" t="s">
        <v>276</v>
      </c>
      <c r="D56" t="s">
        <v>283</v>
      </c>
      <c r="E56" s="23" t="str">
        <f>IF(D56&lt;&gt;"","IX"&amp;COUNTIF($D$2:D56,"&lt;&gt;"),"")</f>
        <v>IX50</v>
      </c>
      <c r="G56" s="18" t="str">
        <f t="shared" si="4"/>
        <v>https://doi.org/10.1109/ISTAS52410.2021.9629163</v>
      </c>
      <c r="H56" t="s">
        <v>297</v>
      </c>
      <c r="I56">
        <v>2021</v>
      </c>
      <c r="P56" t="s">
        <v>290</v>
      </c>
    </row>
    <row r="57" spans="1:16" ht="13.2">
      <c r="A57" s="13"/>
      <c r="B57" s="24"/>
      <c r="C57" s="24"/>
      <c r="D57" s="28"/>
      <c r="E57" s="23"/>
      <c r="F57" s="12"/>
      <c r="G57" s="26"/>
      <c r="H57" s="27"/>
      <c r="I57" s="5"/>
    </row>
    <row r="58" spans="1:16" ht="13.8">
      <c r="A58" s="13"/>
      <c r="B58" s="24"/>
      <c r="C58" s="24"/>
      <c r="D58" s="25"/>
      <c r="E58" s="23"/>
      <c r="F58" s="12"/>
      <c r="G58" s="26"/>
      <c r="H58" s="27"/>
      <c r="I58" s="5"/>
      <c r="J58" s="29"/>
    </row>
    <row r="59" spans="1:16" ht="13.2">
      <c r="A59" s="13"/>
      <c r="B59" s="30"/>
      <c r="C59" s="24"/>
      <c r="D59" s="28"/>
      <c r="E59" s="23"/>
      <c r="F59" s="12"/>
      <c r="G59" s="26"/>
      <c r="H59" s="27"/>
      <c r="I59" s="5"/>
    </row>
    <row r="60" spans="1:16" ht="13.2">
      <c r="A60" s="13"/>
      <c r="B60" s="24"/>
      <c r="C60" s="24"/>
      <c r="D60" s="28"/>
      <c r="E60" s="23"/>
      <c r="F60" s="12"/>
      <c r="G60" s="26"/>
      <c r="H60" s="27"/>
      <c r="I60" s="5"/>
      <c r="K60" s="5"/>
    </row>
    <row r="61" spans="1:16" ht="13.2">
      <c r="A61" s="13"/>
      <c r="B61" s="24"/>
      <c r="C61" s="24"/>
      <c r="D61" s="28"/>
      <c r="E61" s="23"/>
      <c r="F61" s="12"/>
      <c r="G61" s="26"/>
      <c r="H61" s="27"/>
      <c r="I61" s="5"/>
    </row>
    <row r="62" spans="1:16" ht="13.2">
      <c r="A62" s="13"/>
      <c r="B62" s="24"/>
      <c r="C62" s="24"/>
      <c r="D62" s="28"/>
      <c r="E62" s="23"/>
      <c r="F62" s="12"/>
      <c r="G62" s="26"/>
      <c r="H62" s="27"/>
      <c r="I62" s="5"/>
    </row>
    <row r="63" spans="1:16" ht="13.2">
      <c r="A63" s="13"/>
      <c r="B63" s="24"/>
      <c r="C63" s="24"/>
      <c r="D63" s="25"/>
      <c r="E63" s="23"/>
      <c r="F63" s="12"/>
      <c r="G63" s="26"/>
      <c r="H63" s="27"/>
      <c r="I63" s="5"/>
    </row>
    <row r="64" spans="1:16" ht="13.2">
      <c r="A64" s="13"/>
      <c r="B64" s="24"/>
      <c r="C64" s="24"/>
      <c r="D64" s="28"/>
      <c r="E64" s="23"/>
      <c r="F64" s="12"/>
      <c r="G64" s="26"/>
      <c r="H64" s="27"/>
      <c r="I64" s="5"/>
    </row>
    <row r="65" spans="1:29" ht="13.2">
      <c r="A65" s="13"/>
      <c r="B65" s="24"/>
      <c r="C65" s="24"/>
      <c r="D65" s="28"/>
      <c r="E65" s="23"/>
      <c r="F65" s="12"/>
      <c r="G65" s="26"/>
      <c r="H65" s="27"/>
      <c r="I65" s="5"/>
    </row>
    <row r="66" spans="1:29" ht="13.2">
      <c r="A66" s="13"/>
      <c r="B66" s="31"/>
      <c r="C66" s="31"/>
      <c r="D66" s="28"/>
      <c r="E66" s="23"/>
      <c r="F66" s="12"/>
      <c r="G66" s="32"/>
      <c r="H66" s="27"/>
      <c r="I66" s="5"/>
    </row>
    <row r="67" spans="1:29" ht="13.2">
      <c r="A67" s="13"/>
      <c r="B67" s="33"/>
      <c r="C67" s="28"/>
      <c r="F67" s="12"/>
    </row>
    <row r="68" spans="1:29" ht="13.2">
      <c r="A68" s="13"/>
      <c r="C68" s="28"/>
      <c r="E68" s="5"/>
      <c r="F68" s="12"/>
    </row>
    <row r="69" spans="1:29" ht="13.2">
      <c r="A69" s="13"/>
      <c r="B69" s="25"/>
      <c r="C69" s="25"/>
      <c r="D69" s="25"/>
      <c r="E69" s="5"/>
      <c r="F69" s="12"/>
      <c r="G69" s="10"/>
      <c r="H69" s="10"/>
      <c r="I69" s="10"/>
      <c r="J69" s="10"/>
      <c r="K69" s="10"/>
      <c r="L69" s="10"/>
      <c r="M69" s="10"/>
      <c r="N69" s="10"/>
      <c r="O69" s="10"/>
      <c r="P69" s="10"/>
      <c r="Q69" s="10"/>
      <c r="R69" s="10"/>
      <c r="S69" s="10"/>
      <c r="T69" s="10"/>
      <c r="U69" s="10"/>
      <c r="V69" s="10"/>
      <c r="W69" s="10"/>
      <c r="X69" s="10"/>
      <c r="Y69" s="10"/>
      <c r="Z69" s="10"/>
      <c r="AA69" s="10"/>
      <c r="AB69" s="10"/>
      <c r="AC69" s="10"/>
    </row>
    <row r="70" spans="1:29" ht="13.2">
      <c r="A70" s="13"/>
      <c r="B70" s="25"/>
      <c r="C70" s="25"/>
      <c r="D70" s="25"/>
      <c r="E70" s="5"/>
      <c r="F70" s="12"/>
      <c r="G70" s="10"/>
      <c r="H70" s="10"/>
      <c r="I70" s="10"/>
      <c r="J70" s="10"/>
      <c r="K70" s="10"/>
      <c r="L70" s="10"/>
      <c r="M70" s="10"/>
      <c r="N70" s="10"/>
      <c r="O70" s="10"/>
      <c r="P70" s="10"/>
      <c r="Q70" s="10"/>
      <c r="R70" s="10"/>
      <c r="S70" s="10"/>
      <c r="T70" s="10"/>
      <c r="U70" s="10"/>
      <c r="V70" s="10"/>
      <c r="W70" s="10"/>
      <c r="X70" s="10"/>
      <c r="Y70" s="10"/>
      <c r="Z70" s="10"/>
      <c r="AA70" s="10"/>
      <c r="AB70" s="10"/>
      <c r="AC70" s="10"/>
    </row>
    <row r="71" spans="1:29" ht="13.2">
      <c r="A71" s="13"/>
      <c r="B71" s="25"/>
      <c r="C71" s="25"/>
      <c r="D71" s="25"/>
      <c r="E71" s="5"/>
      <c r="F71" s="12"/>
      <c r="G71" s="10"/>
      <c r="H71" s="10"/>
      <c r="I71" s="10"/>
      <c r="J71" s="10"/>
      <c r="K71" s="10"/>
      <c r="L71" s="10"/>
      <c r="M71" s="10"/>
      <c r="N71" s="10"/>
      <c r="O71" s="10"/>
      <c r="P71" s="10"/>
      <c r="Q71" s="10"/>
      <c r="R71" s="10"/>
      <c r="S71" s="10"/>
      <c r="T71" s="10"/>
      <c r="U71" s="10"/>
      <c r="V71" s="10"/>
      <c r="W71" s="10"/>
      <c r="X71" s="10"/>
      <c r="Y71" s="10"/>
      <c r="Z71" s="10"/>
      <c r="AA71" s="10"/>
      <c r="AB71" s="10"/>
      <c r="AC71" s="10"/>
    </row>
    <row r="72" spans="1:29" ht="13.2">
      <c r="A72" s="13"/>
      <c r="B72" s="25"/>
      <c r="C72" s="25"/>
      <c r="D72" s="25"/>
      <c r="E72" s="5"/>
      <c r="F72" s="12"/>
      <c r="G72" s="10"/>
      <c r="H72" s="10"/>
      <c r="I72" s="10"/>
      <c r="J72" s="10"/>
      <c r="K72" s="10"/>
      <c r="L72" s="10"/>
      <c r="M72" s="10"/>
      <c r="N72" s="10"/>
      <c r="O72" s="10"/>
      <c r="P72" s="10"/>
      <c r="Q72" s="10"/>
      <c r="R72" s="10"/>
      <c r="S72" s="10"/>
      <c r="T72" s="10"/>
      <c r="U72" s="10"/>
      <c r="V72" s="10"/>
      <c r="W72" s="10"/>
      <c r="X72" s="10"/>
      <c r="Y72" s="10"/>
      <c r="Z72" s="10"/>
      <c r="AA72" s="10"/>
      <c r="AB72" s="10"/>
      <c r="AC72" s="10"/>
    </row>
    <row r="73" spans="1:29" ht="13.2">
      <c r="A73" s="13"/>
      <c r="B73" s="24"/>
      <c r="C73" s="24"/>
      <c r="D73" s="28"/>
      <c r="E73" s="23"/>
      <c r="F73" s="12"/>
      <c r="G73" s="34"/>
      <c r="H73" s="27"/>
      <c r="I73" s="10"/>
      <c r="J73" s="10"/>
      <c r="K73" s="10"/>
      <c r="L73" s="10"/>
      <c r="M73" s="10"/>
      <c r="N73" s="10"/>
      <c r="O73" s="10"/>
      <c r="P73" s="10"/>
      <c r="Q73" s="10"/>
      <c r="R73" s="10"/>
      <c r="S73" s="10"/>
      <c r="T73" s="10"/>
      <c r="U73" s="10"/>
      <c r="V73" s="10"/>
      <c r="W73" s="10"/>
      <c r="X73" s="10"/>
      <c r="Y73" s="10"/>
      <c r="Z73" s="10"/>
      <c r="AA73" s="10"/>
      <c r="AB73" s="10"/>
      <c r="AC73" s="10"/>
    </row>
    <row r="74" spans="1:29" ht="13.2">
      <c r="A74" s="13"/>
      <c r="B74" s="28"/>
      <c r="C74" s="28"/>
      <c r="D74" s="25"/>
      <c r="F74" s="12"/>
      <c r="G74" s="10"/>
      <c r="H74" s="10"/>
      <c r="I74" s="10"/>
      <c r="J74" s="10"/>
      <c r="K74" s="10"/>
      <c r="L74" s="10"/>
      <c r="M74" s="10"/>
      <c r="N74" s="10"/>
      <c r="O74" s="10"/>
      <c r="P74" s="10"/>
      <c r="Q74" s="10"/>
      <c r="R74" s="10"/>
      <c r="S74" s="10"/>
      <c r="T74" s="10"/>
      <c r="U74" s="10"/>
      <c r="V74" s="10"/>
      <c r="W74" s="10"/>
      <c r="X74" s="10"/>
      <c r="Y74" s="10"/>
      <c r="Z74" s="10"/>
      <c r="AA74" s="10"/>
      <c r="AB74" s="10"/>
      <c r="AC74" s="10"/>
    </row>
    <row r="75" spans="1:29" ht="13.2">
      <c r="A75" s="13"/>
      <c r="B75" s="25"/>
      <c r="C75" s="25"/>
      <c r="D75" s="25"/>
      <c r="E75" s="5"/>
      <c r="F75" s="12"/>
      <c r="G75" s="10"/>
      <c r="H75" s="10"/>
      <c r="I75" s="10"/>
      <c r="J75" s="10"/>
      <c r="K75" s="10"/>
      <c r="L75" s="10"/>
      <c r="M75" s="10"/>
      <c r="N75" s="10"/>
      <c r="O75" s="10"/>
      <c r="P75" s="10"/>
      <c r="Q75" s="10"/>
      <c r="R75" s="10"/>
      <c r="S75" s="10"/>
      <c r="T75" s="10"/>
      <c r="U75" s="10"/>
      <c r="V75" s="10"/>
      <c r="W75" s="10"/>
      <c r="X75" s="10"/>
      <c r="Y75" s="10"/>
      <c r="Z75" s="10"/>
      <c r="AA75" s="10"/>
      <c r="AB75" s="10"/>
      <c r="AC75" s="10"/>
    </row>
    <row r="76" spans="1:29" ht="13.2">
      <c r="A76" s="13"/>
      <c r="B76" s="25"/>
      <c r="C76" s="25"/>
      <c r="D76" s="25"/>
      <c r="F76" s="12"/>
      <c r="G76" s="10"/>
      <c r="H76" s="10"/>
      <c r="I76" s="10"/>
      <c r="J76" s="10"/>
      <c r="K76" s="10"/>
      <c r="L76" s="10"/>
      <c r="M76" s="10"/>
      <c r="N76" s="10"/>
      <c r="O76" s="10"/>
      <c r="P76" s="10"/>
      <c r="Q76" s="10"/>
      <c r="R76" s="10"/>
      <c r="S76" s="10"/>
      <c r="T76" s="10"/>
      <c r="U76" s="10"/>
      <c r="V76" s="10"/>
      <c r="W76" s="10"/>
      <c r="X76" s="10"/>
      <c r="Y76" s="10"/>
      <c r="Z76" s="10"/>
      <c r="AA76" s="10"/>
      <c r="AB76" s="10"/>
      <c r="AC76" s="10"/>
    </row>
    <row r="77" spans="1:29" ht="13.2">
      <c r="A77" s="35"/>
      <c r="B77" s="31"/>
      <c r="C77" s="31"/>
      <c r="D77" s="28"/>
      <c r="E77" s="23"/>
      <c r="F77" s="12"/>
      <c r="G77" s="36"/>
      <c r="H77" s="5"/>
      <c r="I77" s="10"/>
      <c r="J77" s="10"/>
      <c r="K77" s="10"/>
      <c r="L77" s="10"/>
      <c r="M77" s="10"/>
      <c r="N77" s="10"/>
      <c r="O77" s="10"/>
      <c r="P77" s="10"/>
      <c r="Q77" s="10"/>
      <c r="R77" s="10"/>
      <c r="S77" s="10"/>
      <c r="T77" s="10"/>
      <c r="U77" s="10"/>
      <c r="V77" s="10"/>
      <c r="W77" s="10"/>
      <c r="X77" s="10"/>
      <c r="Y77" s="10"/>
      <c r="Z77" s="10"/>
      <c r="AA77" s="10"/>
      <c r="AB77" s="10"/>
      <c r="AC77" s="10"/>
    </row>
    <row r="78" spans="1:29" ht="13.2">
      <c r="A78" s="13"/>
      <c r="B78" s="24"/>
      <c r="C78" s="24"/>
      <c r="D78" s="28"/>
      <c r="E78" s="23"/>
      <c r="F78" s="12"/>
      <c r="G78" s="34"/>
      <c r="H78" s="5"/>
      <c r="I78" s="10"/>
      <c r="J78" s="10"/>
      <c r="K78" s="10"/>
      <c r="L78" s="10"/>
      <c r="M78" s="10"/>
      <c r="N78" s="10"/>
      <c r="O78" s="10"/>
      <c r="P78" s="10"/>
      <c r="Q78" s="10"/>
      <c r="R78" s="10"/>
      <c r="S78" s="10"/>
      <c r="T78" s="10"/>
      <c r="U78" s="10"/>
      <c r="V78" s="10"/>
      <c r="W78" s="10"/>
      <c r="X78" s="10"/>
      <c r="Y78" s="10"/>
      <c r="Z78" s="10"/>
      <c r="AA78" s="10"/>
      <c r="AB78" s="10"/>
      <c r="AC78" s="10"/>
    </row>
    <row r="79" spans="1:29" ht="13.2">
      <c r="A79" s="13"/>
      <c r="B79" s="31"/>
      <c r="C79" s="31"/>
      <c r="D79" s="28"/>
      <c r="E79" s="23"/>
      <c r="F79" s="12"/>
      <c r="G79" s="32"/>
      <c r="H79" s="27"/>
      <c r="I79" s="10"/>
    </row>
    <row r="80" spans="1:29" ht="13.2">
      <c r="A80" s="13"/>
      <c r="B80" s="28"/>
      <c r="C80" s="28"/>
      <c r="F80" s="12"/>
      <c r="T80" s="5"/>
      <c r="U80" s="5"/>
      <c r="V80" s="5"/>
      <c r="W80" s="5"/>
      <c r="X80" s="5"/>
      <c r="Y80" s="5"/>
      <c r="Z80" s="14"/>
    </row>
    <row r="81" spans="1:26" ht="16.8">
      <c r="A81" s="35"/>
      <c r="B81" s="24"/>
      <c r="C81" s="24"/>
      <c r="D81" s="25"/>
      <c r="E81" s="23"/>
      <c r="F81" s="12"/>
      <c r="G81" s="26"/>
      <c r="H81" s="27"/>
      <c r="I81" s="5"/>
      <c r="S81" s="37"/>
      <c r="T81" s="38"/>
      <c r="U81" s="10"/>
      <c r="V81" s="10"/>
      <c r="W81" s="39"/>
      <c r="X81" s="40"/>
      <c r="Y81" s="10"/>
      <c r="Z81" s="14"/>
    </row>
    <row r="82" spans="1:26" ht="33">
      <c r="A82" s="13"/>
      <c r="B82" s="28"/>
      <c r="C82" s="28"/>
      <c r="S82" s="37"/>
      <c r="T82" s="38"/>
      <c r="U82" s="41"/>
      <c r="V82" s="41"/>
      <c r="W82" s="42"/>
      <c r="X82" s="10"/>
      <c r="Y82" s="43"/>
      <c r="Z82" s="14"/>
    </row>
    <row r="83" spans="1:26" ht="14.4">
      <c r="A83" s="13"/>
      <c r="S83" s="37"/>
      <c r="T83" s="38"/>
      <c r="U83" s="41"/>
      <c r="V83" s="41"/>
      <c r="W83" s="44"/>
      <c r="X83" s="10"/>
      <c r="Y83" s="10"/>
      <c r="Z83" s="14"/>
    </row>
    <row r="84" spans="1:26" ht="14.4">
      <c r="A84" s="13"/>
      <c r="S84" s="37"/>
      <c r="T84" s="38"/>
      <c r="U84" s="41"/>
      <c r="V84" s="41"/>
      <c r="W84" s="44"/>
      <c r="X84" s="10"/>
      <c r="Y84" s="10"/>
      <c r="Z84" s="14"/>
    </row>
    <row r="85" spans="1:26" ht="28.8">
      <c r="A85" s="13"/>
      <c r="S85" s="37"/>
      <c r="T85" s="38"/>
      <c r="U85" s="41"/>
      <c r="V85" s="41"/>
      <c r="W85" s="44"/>
      <c r="X85" s="45"/>
      <c r="Y85" s="10"/>
      <c r="Z85" s="14"/>
    </row>
    <row r="86" spans="1:26" ht="14.4">
      <c r="A86" s="13"/>
      <c r="S86" s="37"/>
      <c r="T86" s="38"/>
      <c r="U86" s="41"/>
      <c r="V86" s="41"/>
      <c r="W86" s="44"/>
      <c r="X86" s="10"/>
      <c r="Y86" s="10"/>
      <c r="Z86" s="14"/>
    </row>
    <row r="87" spans="1:26" ht="14.4">
      <c r="A87" s="13"/>
      <c r="S87" s="37"/>
      <c r="T87" s="38"/>
      <c r="U87" s="41"/>
      <c r="V87" s="41"/>
      <c r="W87" s="44"/>
      <c r="X87" s="10"/>
      <c r="Y87" s="10"/>
      <c r="Z87" s="14"/>
    </row>
    <row r="88" spans="1:26" ht="14.4">
      <c r="A88" s="13"/>
      <c r="S88" s="37"/>
      <c r="T88" s="38"/>
      <c r="U88" s="41"/>
      <c r="V88" s="41"/>
      <c r="W88" s="44"/>
      <c r="X88" s="46"/>
      <c r="Y88" s="10"/>
      <c r="Z88" s="14"/>
    </row>
    <row r="89" spans="1:26" ht="14.4">
      <c r="A89" s="13"/>
      <c r="S89" s="37"/>
      <c r="T89" s="38"/>
      <c r="U89" s="41"/>
      <c r="V89" s="41"/>
      <c r="W89" s="44"/>
      <c r="X89" s="46"/>
      <c r="Y89" s="10"/>
      <c r="Z89" s="14"/>
    </row>
    <row r="90" spans="1:26" ht="14.4">
      <c r="A90" s="13"/>
      <c r="S90" s="37"/>
      <c r="T90" s="38"/>
      <c r="U90" s="41"/>
      <c r="V90" s="41"/>
      <c r="W90" s="44"/>
      <c r="X90" s="46"/>
      <c r="Y90" s="47"/>
      <c r="Z90" s="14"/>
    </row>
    <row r="91" spans="1:26" ht="14.4">
      <c r="A91" s="13"/>
      <c r="S91" s="37"/>
      <c r="T91" s="38"/>
      <c r="U91" s="41"/>
      <c r="V91" s="41"/>
      <c r="W91" s="44"/>
      <c r="X91" s="10"/>
      <c r="Y91" s="10"/>
      <c r="Z91" s="14"/>
    </row>
    <row r="92" spans="1:26" ht="14.4">
      <c r="A92" s="13"/>
      <c r="S92" s="37"/>
      <c r="T92" s="38"/>
      <c r="U92" s="41"/>
      <c r="V92" s="41"/>
      <c r="W92" s="44"/>
      <c r="X92" s="46"/>
      <c r="Y92" s="10"/>
      <c r="Z92" s="14"/>
    </row>
    <row r="93" spans="1:26" ht="14.4">
      <c r="A93" s="13"/>
      <c r="C93" s="48"/>
      <c r="D93" s="48"/>
      <c r="S93" s="37"/>
      <c r="T93" s="38"/>
      <c r="U93" s="41"/>
      <c r="V93" s="41"/>
      <c r="W93" s="44"/>
      <c r="X93" s="10"/>
      <c r="Y93" s="10"/>
      <c r="Z93" s="14"/>
    </row>
    <row r="94" spans="1:26" ht="14.4">
      <c r="A94" s="13"/>
      <c r="B94" s="5"/>
      <c r="S94" s="37"/>
      <c r="T94" s="38"/>
      <c r="U94" s="41"/>
      <c r="V94" s="41"/>
      <c r="W94" s="10"/>
      <c r="X94" s="10"/>
      <c r="Y94" s="10"/>
      <c r="Z94" s="14"/>
    </row>
    <row r="95" spans="1:26" ht="21">
      <c r="A95" s="13"/>
      <c r="S95" s="37"/>
      <c r="T95" s="38"/>
      <c r="U95" s="41"/>
      <c r="V95" s="41"/>
      <c r="W95" s="44"/>
      <c r="X95" s="46"/>
      <c r="Y95" s="49"/>
      <c r="Z95" s="14"/>
    </row>
    <row r="96" spans="1:26" ht="15.6">
      <c r="A96" s="13"/>
      <c r="S96" s="37"/>
      <c r="T96" s="38"/>
      <c r="U96" s="41"/>
      <c r="V96" s="41"/>
      <c r="W96" s="44"/>
      <c r="X96" s="50"/>
      <c r="Y96" s="10"/>
      <c r="Z96" s="14"/>
    </row>
    <row r="97" spans="1:26" ht="14.4">
      <c r="A97" s="13"/>
      <c r="S97" s="37"/>
      <c r="T97" s="38"/>
      <c r="U97" s="41"/>
      <c r="V97" s="41"/>
      <c r="W97" s="44"/>
      <c r="X97" s="10"/>
      <c r="Y97" s="10"/>
      <c r="Z97" s="14"/>
    </row>
    <row r="98" spans="1:26" ht="15.6">
      <c r="A98" s="13"/>
      <c r="B98" s="5"/>
      <c r="S98" s="37"/>
      <c r="T98" s="38"/>
      <c r="U98" s="41"/>
      <c r="V98" s="41"/>
      <c r="W98" s="44"/>
      <c r="X98" s="51"/>
      <c r="Y98" s="10"/>
      <c r="Z98" s="14"/>
    </row>
    <row r="99" spans="1:26" ht="14.4">
      <c r="A99" s="13"/>
      <c r="B99" s="5"/>
      <c r="S99" s="37"/>
      <c r="T99" s="38"/>
      <c r="U99" s="41"/>
      <c r="V99" s="41"/>
      <c r="W99" s="41"/>
      <c r="X99" s="10"/>
      <c r="Y99" s="10"/>
      <c r="Z99" s="14"/>
    </row>
    <row r="100" spans="1:26" ht="14.4">
      <c r="A100" s="13"/>
      <c r="B100" s="5"/>
      <c r="S100" s="37"/>
      <c r="T100" s="38"/>
      <c r="U100" s="41"/>
      <c r="V100" s="41"/>
      <c r="W100" s="10"/>
      <c r="X100" s="10"/>
      <c r="Y100" s="10"/>
      <c r="Z100" s="14"/>
    </row>
    <row r="101" spans="1:26" ht="14.4">
      <c r="A101" s="13"/>
      <c r="B101" s="5"/>
      <c r="S101" s="37"/>
      <c r="T101" s="38"/>
      <c r="U101" s="41"/>
      <c r="V101" s="41"/>
      <c r="W101" s="10"/>
      <c r="X101" s="10"/>
      <c r="Y101" s="10"/>
      <c r="Z101" s="14"/>
    </row>
    <row r="102" spans="1:26" ht="14.4">
      <c r="A102" s="13"/>
      <c r="S102" s="37"/>
      <c r="T102" s="38"/>
      <c r="U102" s="41"/>
      <c r="V102" s="41"/>
      <c r="W102" s="44"/>
      <c r="X102" s="46"/>
      <c r="Y102" s="10"/>
      <c r="Z102" s="14"/>
    </row>
    <row r="103" spans="1:26" ht="14.4">
      <c r="A103" s="13"/>
      <c r="S103" s="37"/>
      <c r="T103" s="38"/>
      <c r="U103" s="41"/>
      <c r="V103" s="41"/>
      <c r="W103" s="44"/>
      <c r="X103" s="10"/>
      <c r="Y103" s="52"/>
      <c r="Z103" s="14"/>
    </row>
    <row r="104" spans="1:26" ht="13.2">
      <c r="A104" s="13"/>
      <c r="S104" s="37"/>
      <c r="T104" s="38"/>
      <c r="U104" s="10"/>
      <c r="V104" s="10"/>
      <c r="W104" s="44"/>
      <c r="X104" s="10"/>
      <c r="Y104" s="10"/>
      <c r="Z104" s="14"/>
    </row>
    <row r="105" spans="1:26" ht="14.4">
      <c r="A105" s="13"/>
      <c r="S105" s="37"/>
      <c r="T105" s="38"/>
      <c r="U105" s="41"/>
      <c r="V105" s="41"/>
      <c r="W105" s="44"/>
      <c r="X105" s="10"/>
      <c r="Y105" s="10"/>
      <c r="Z105" s="14"/>
    </row>
    <row r="106" spans="1:26" ht="14.4">
      <c r="A106" s="13"/>
      <c r="S106" s="37"/>
      <c r="T106" s="38"/>
      <c r="U106" s="41"/>
      <c r="V106" s="41"/>
      <c r="W106" s="44"/>
      <c r="X106" s="10"/>
      <c r="Y106" s="10"/>
      <c r="Z106" s="14"/>
    </row>
    <row r="107" spans="1:26" ht="14.4">
      <c r="A107" s="13"/>
      <c r="S107" s="37"/>
      <c r="T107" s="38"/>
      <c r="U107" s="41"/>
      <c r="V107" s="41"/>
      <c r="W107" s="44"/>
      <c r="X107" s="10"/>
      <c r="Y107" s="10"/>
      <c r="Z107" s="14"/>
    </row>
    <row r="108" spans="1:26" ht="14.4">
      <c r="A108" s="13"/>
      <c r="S108" s="37"/>
      <c r="T108" s="38"/>
      <c r="U108" s="41"/>
      <c r="V108" s="41"/>
      <c r="W108" s="41"/>
      <c r="X108" s="10"/>
      <c r="Y108" s="10"/>
      <c r="Z108" s="14"/>
    </row>
    <row r="109" spans="1:26" ht="13.2">
      <c r="A109" s="13"/>
      <c r="S109" s="37"/>
      <c r="T109" s="10"/>
      <c r="U109" s="10"/>
      <c r="V109" s="10"/>
      <c r="W109" s="10"/>
      <c r="X109" s="10"/>
      <c r="Y109" s="10"/>
      <c r="Z109" s="14"/>
    </row>
    <row r="110" spans="1:26" ht="13.2">
      <c r="A110" s="13"/>
      <c r="S110" s="37"/>
      <c r="T110" s="10"/>
      <c r="U110" s="10"/>
      <c r="V110" s="10"/>
      <c r="W110" s="10"/>
      <c r="X110" s="10"/>
      <c r="Y110" s="10"/>
    </row>
    <row r="111" spans="1:26" ht="13.2">
      <c r="A111" s="13"/>
    </row>
    <row r="112" spans="1:26" ht="13.2">
      <c r="A112" s="13"/>
    </row>
    <row r="113" spans="1:1" ht="13.2">
      <c r="A113" s="13"/>
    </row>
    <row r="114" spans="1:1" ht="13.2">
      <c r="A114" s="13"/>
    </row>
    <row r="115" spans="1:1" ht="13.2">
      <c r="A115" s="13"/>
    </row>
    <row r="116" spans="1:1" ht="13.2">
      <c r="A116" s="13"/>
    </row>
    <row r="117" spans="1:1" ht="13.2">
      <c r="A117" s="13"/>
    </row>
    <row r="118" spans="1:1" ht="13.2">
      <c r="A118" s="13"/>
    </row>
    <row r="119" spans="1:1" ht="13.2">
      <c r="A119" s="13"/>
    </row>
    <row r="120" spans="1:1" ht="13.2">
      <c r="A120" s="13"/>
    </row>
    <row r="121" spans="1:1" ht="13.2">
      <c r="A121" s="13"/>
    </row>
    <row r="122" spans="1:1" ht="13.2">
      <c r="A122" s="13"/>
    </row>
    <row r="123" spans="1:1" ht="13.2">
      <c r="A123" s="13"/>
    </row>
    <row r="124" spans="1:1" ht="13.2">
      <c r="A124" s="13"/>
    </row>
    <row r="125" spans="1:1" ht="13.2">
      <c r="A125" s="13"/>
    </row>
    <row r="126" spans="1:1" ht="13.2">
      <c r="A126" s="13"/>
    </row>
    <row r="127" spans="1:1" ht="13.2">
      <c r="A127" s="13"/>
    </row>
    <row r="128" spans="1:1" ht="13.2">
      <c r="A128" s="13"/>
    </row>
    <row r="129" spans="1:1" ht="13.2">
      <c r="A129" s="13"/>
    </row>
    <row r="130" spans="1:1" ht="13.2">
      <c r="A130" s="13"/>
    </row>
    <row r="131" spans="1:1" ht="13.2">
      <c r="A131" s="13"/>
    </row>
    <row r="132" spans="1:1" ht="13.2">
      <c r="A132" s="13"/>
    </row>
    <row r="133" spans="1:1" ht="13.2">
      <c r="A133" s="13"/>
    </row>
    <row r="134" spans="1:1" ht="13.2">
      <c r="A134" s="13"/>
    </row>
    <row r="135" spans="1:1" ht="13.2">
      <c r="A135" s="13"/>
    </row>
    <row r="136" spans="1:1" ht="13.2">
      <c r="A136" s="13"/>
    </row>
    <row r="137" spans="1:1" ht="13.2">
      <c r="A137" s="13"/>
    </row>
    <row r="138" spans="1:1" ht="13.2">
      <c r="A138" s="13"/>
    </row>
    <row r="139" spans="1:1" ht="13.2">
      <c r="A139" s="13"/>
    </row>
    <row r="140" spans="1:1" ht="13.2">
      <c r="A140" s="13"/>
    </row>
    <row r="141" spans="1:1" ht="13.2">
      <c r="A141" s="13"/>
    </row>
    <row r="142" spans="1:1" ht="13.2">
      <c r="A142" s="13"/>
    </row>
    <row r="143" spans="1:1" ht="13.2">
      <c r="A143" s="13"/>
    </row>
    <row r="144" spans="1:1" ht="13.2">
      <c r="A144" s="13"/>
    </row>
    <row r="145" spans="1:1" ht="13.2">
      <c r="A145" s="13"/>
    </row>
    <row r="146" spans="1:1" ht="13.2">
      <c r="A146" s="13"/>
    </row>
    <row r="147" spans="1:1" ht="13.2">
      <c r="A147" s="13"/>
    </row>
    <row r="148" spans="1:1" ht="13.2">
      <c r="A148" s="13"/>
    </row>
    <row r="149" spans="1:1" ht="13.2">
      <c r="A149" s="13"/>
    </row>
    <row r="150" spans="1:1" ht="13.2">
      <c r="A150" s="13"/>
    </row>
    <row r="151" spans="1:1" ht="13.2">
      <c r="A151" s="13"/>
    </row>
    <row r="152" spans="1:1" ht="13.2">
      <c r="A152" s="13"/>
    </row>
    <row r="153" spans="1:1" ht="13.2">
      <c r="A153" s="13"/>
    </row>
    <row r="154" spans="1:1" ht="13.2">
      <c r="A154" s="13"/>
    </row>
    <row r="155" spans="1:1" ht="13.2">
      <c r="A155" s="13"/>
    </row>
    <row r="156" spans="1:1" ht="13.2">
      <c r="A156" s="13"/>
    </row>
    <row r="157" spans="1:1" ht="13.2">
      <c r="A157" s="13"/>
    </row>
    <row r="158" spans="1:1" ht="13.2">
      <c r="A158" s="13"/>
    </row>
    <row r="159" spans="1:1" ht="13.2">
      <c r="A159" s="13"/>
    </row>
    <row r="160" spans="1:1" ht="13.2">
      <c r="A160" s="13"/>
    </row>
    <row r="161" spans="1:1" ht="13.2">
      <c r="A161" s="13"/>
    </row>
    <row r="162" spans="1:1" ht="13.2">
      <c r="A162" s="13"/>
    </row>
    <row r="163" spans="1:1" ht="13.2">
      <c r="A163" s="13"/>
    </row>
    <row r="164" spans="1:1" ht="13.2">
      <c r="A164" s="13"/>
    </row>
    <row r="165" spans="1:1" ht="13.2">
      <c r="A165" s="13"/>
    </row>
    <row r="166" spans="1:1" ht="13.2">
      <c r="A166" s="13"/>
    </row>
    <row r="167" spans="1:1" ht="13.2">
      <c r="A167" s="13"/>
    </row>
    <row r="168" spans="1:1" ht="13.2">
      <c r="A168" s="13"/>
    </row>
    <row r="169" spans="1:1" ht="13.2">
      <c r="A169" s="13"/>
    </row>
    <row r="170" spans="1:1" ht="13.2">
      <c r="A170" s="13"/>
    </row>
    <row r="171" spans="1:1" ht="13.2">
      <c r="A171" s="13"/>
    </row>
    <row r="172" spans="1:1" ht="13.2">
      <c r="A172" s="13"/>
    </row>
    <row r="173" spans="1:1" ht="13.2">
      <c r="A173" s="13"/>
    </row>
    <row r="174" spans="1:1" ht="13.2">
      <c r="A174" s="13"/>
    </row>
    <row r="175" spans="1:1" ht="13.2">
      <c r="A175" s="13"/>
    </row>
    <row r="176" spans="1:1" ht="13.2">
      <c r="A176" s="13"/>
    </row>
    <row r="177" spans="1:1" ht="13.2">
      <c r="A177" s="13"/>
    </row>
    <row r="178" spans="1:1" ht="13.2">
      <c r="A178" s="13"/>
    </row>
    <row r="179" spans="1:1" ht="13.2">
      <c r="A179" s="13"/>
    </row>
    <row r="180" spans="1:1" ht="13.2">
      <c r="A180" s="13"/>
    </row>
    <row r="181" spans="1:1" ht="13.2">
      <c r="A181" s="13"/>
    </row>
    <row r="182" spans="1:1" ht="13.2">
      <c r="A182" s="13"/>
    </row>
    <row r="183" spans="1:1" ht="13.2">
      <c r="A183" s="13"/>
    </row>
    <row r="184" spans="1:1" ht="13.2">
      <c r="A184" s="13"/>
    </row>
    <row r="185" spans="1:1" ht="13.2">
      <c r="A185" s="13"/>
    </row>
    <row r="186" spans="1:1" ht="13.2">
      <c r="A186" s="13"/>
    </row>
    <row r="187" spans="1:1" ht="13.2">
      <c r="A187" s="13"/>
    </row>
    <row r="188" spans="1:1" ht="13.2">
      <c r="A188" s="13"/>
    </row>
    <row r="189" spans="1:1" ht="13.2">
      <c r="A189" s="13"/>
    </row>
    <row r="190" spans="1:1" ht="13.2">
      <c r="A190" s="13"/>
    </row>
    <row r="191" spans="1:1" ht="13.2">
      <c r="A191" s="13"/>
    </row>
    <row r="192" spans="1:1" ht="13.2">
      <c r="A192" s="13"/>
    </row>
    <row r="193" spans="1:1" ht="13.2">
      <c r="A193" s="13"/>
    </row>
    <row r="194" spans="1:1" ht="13.2">
      <c r="A194" s="13"/>
    </row>
    <row r="195" spans="1:1" ht="13.2">
      <c r="A195" s="13"/>
    </row>
    <row r="196" spans="1:1" ht="13.2">
      <c r="A196" s="13"/>
    </row>
    <row r="197" spans="1:1" ht="13.2">
      <c r="A197" s="13"/>
    </row>
    <row r="198" spans="1:1" ht="13.2">
      <c r="A198" s="13"/>
    </row>
    <row r="199" spans="1:1" ht="13.2">
      <c r="A199" s="13"/>
    </row>
    <row r="200" spans="1:1" ht="13.2">
      <c r="A200" s="13"/>
    </row>
    <row r="201" spans="1:1" ht="13.2">
      <c r="A201" s="13"/>
    </row>
    <row r="202" spans="1:1" ht="13.2">
      <c r="A202" s="13"/>
    </row>
    <row r="203" spans="1:1" ht="13.2">
      <c r="A203" s="13"/>
    </row>
    <row r="204" spans="1:1" ht="13.2">
      <c r="A204" s="13"/>
    </row>
    <row r="205" spans="1:1" ht="13.2">
      <c r="A205" s="13"/>
    </row>
    <row r="206" spans="1:1" ht="13.2">
      <c r="A206" s="13"/>
    </row>
    <row r="207" spans="1:1" ht="13.2">
      <c r="A207" s="13"/>
    </row>
    <row r="208" spans="1:1" ht="13.2">
      <c r="A208" s="13"/>
    </row>
    <row r="209" spans="1:1" ht="13.2">
      <c r="A209" s="13"/>
    </row>
    <row r="210" spans="1:1" ht="13.2">
      <c r="A210" s="13"/>
    </row>
    <row r="211" spans="1:1" ht="13.2">
      <c r="A211" s="13"/>
    </row>
    <row r="212" spans="1:1" ht="13.2">
      <c r="A212" s="13"/>
    </row>
    <row r="213" spans="1:1" ht="13.2">
      <c r="A213" s="13"/>
    </row>
    <row r="214" spans="1:1" ht="13.2">
      <c r="A214" s="13"/>
    </row>
    <row r="215" spans="1:1" ht="13.2">
      <c r="A215" s="13"/>
    </row>
    <row r="216" spans="1:1" ht="13.2">
      <c r="A216" s="13"/>
    </row>
    <row r="217" spans="1:1" ht="13.2">
      <c r="A217" s="13"/>
    </row>
    <row r="218" spans="1:1" ht="13.2">
      <c r="A218" s="13"/>
    </row>
    <row r="219" spans="1:1" ht="13.2">
      <c r="A219" s="13"/>
    </row>
    <row r="220" spans="1:1" ht="13.2">
      <c r="A220" s="13"/>
    </row>
    <row r="221" spans="1:1" ht="13.2">
      <c r="A221" s="13"/>
    </row>
    <row r="222" spans="1:1" ht="13.2">
      <c r="A222" s="13"/>
    </row>
    <row r="223" spans="1:1" ht="13.2">
      <c r="A223" s="13"/>
    </row>
    <row r="224" spans="1:1" ht="13.2">
      <c r="A224" s="13"/>
    </row>
    <row r="225" spans="1:1" ht="13.2">
      <c r="A225" s="13"/>
    </row>
    <row r="226" spans="1:1" ht="13.2">
      <c r="A226" s="13"/>
    </row>
    <row r="227" spans="1:1" ht="13.2">
      <c r="A227" s="13"/>
    </row>
    <row r="228" spans="1:1" ht="13.2">
      <c r="A228" s="13"/>
    </row>
    <row r="229" spans="1:1" ht="13.2">
      <c r="A229" s="13"/>
    </row>
    <row r="230" spans="1:1" ht="13.2">
      <c r="A230" s="13"/>
    </row>
    <row r="231" spans="1:1" ht="13.2">
      <c r="A231" s="13"/>
    </row>
    <row r="232" spans="1:1" ht="13.2">
      <c r="A232" s="13"/>
    </row>
    <row r="233" spans="1:1" ht="13.2">
      <c r="A233" s="13"/>
    </row>
    <row r="234" spans="1:1" ht="13.2">
      <c r="A234" s="13"/>
    </row>
    <row r="235" spans="1:1" ht="13.2">
      <c r="A235" s="13"/>
    </row>
    <row r="236" spans="1:1" ht="13.2">
      <c r="A236" s="13"/>
    </row>
    <row r="237" spans="1:1" ht="13.2">
      <c r="A237" s="13"/>
    </row>
    <row r="238" spans="1:1" ht="13.2">
      <c r="A238" s="13"/>
    </row>
    <row r="239" spans="1:1" ht="13.2">
      <c r="A239" s="13"/>
    </row>
    <row r="240" spans="1:1" ht="13.2">
      <c r="A240" s="13"/>
    </row>
    <row r="241" spans="1:1" ht="13.2">
      <c r="A241" s="13"/>
    </row>
    <row r="242" spans="1:1" ht="13.2">
      <c r="A242" s="13"/>
    </row>
    <row r="243" spans="1:1" ht="13.2">
      <c r="A243" s="13"/>
    </row>
    <row r="244" spans="1:1" ht="13.2">
      <c r="A244" s="13"/>
    </row>
    <row r="245" spans="1:1" ht="13.2">
      <c r="A245" s="13"/>
    </row>
    <row r="246" spans="1:1" ht="13.2">
      <c r="A246" s="13"/>
    </row>
    <row r="247" spans="1:1" ht="13.2">
      <c r="A247" s="13"/>
    </row>
    <row r="248" spans="1:1" ht="13.2">
      <c r="A248" s="13"/>
    </row>
    <row r="249" spans="1:1" ht="13.2">
      <c r="A249" s="13"/>
    </row>
    <row r="250" spans="1:1" ht="13.2">
      <c r="A250" s="13"/>
    </row>
    <row r="251" spans="1:1" ht="13.2">
      <c r="A251" s="13"/>
    </row>
    <row r="252" spans="1:1" ht="13.2">
      <c r="A252" s="13"/>
    </row>
    <row r="253" spans="1:1" ht="13.2">
      <c r="A253" s="13"/>
    </row>
    <row r="254" spans="1:1" ht="13.2">
      <c r="A254" s="13"/>
    </row>
    <row r="255" spans="1:1" ht="13.2">
      <c r="A255" s="13"/>
    </row>
    <row r="256" spans="1:1" ht="13.2">
      <c r="A256" s="13"/>
    </row>
    <row r="257" spans="1:1" ht="13.2">
      <c r="A257" s="13"/>
    </row>
    <row r="258" spans="1:1" ht="13.2">
      <c r="A258" s="13"/>
    </row>
    <row r="259" spans="1:1" ht="13.2">
      <c r="A259" s="13"/>
    </row>
    <row r="260" spans="1:1" ht="13.2">
      <c r="A260" s="13"/>
    </row>
    <row r="261" spans="1:1" ht="13.2">
      <c r="A261" s="13"/>
    </row>
    <row r="262" spans="1:1" ht="13.2">
      <c r="A262" s="13"/>
    </row>
    <row r="263" spans="1:1" ht="13.2">
      <c r="A263" s="13"/>
    </row>
    <row r="264" spans="1:1" ht="13.2">
      <c r="A264" s="13"/>
    </row>
    <row r="265" spans="1:1" ht="13.2">
      <c r="A265" s="13"/>
    </row>
    <row r="266" spans="1:1" ht="13.2">
      <c r="A266" s="13"/>
    </row>
    <row r="267" spans="1:1" ht="13.2">
      <c r="A267" s="13"/>
    </row>
    <row r="268" spans="1:1" ht="13.2">
      <c r="A268" s="13"/>
    </row>
    <row r="269" spans="1:1" ht="13.2">
      <c r="A269" s="13"/>
    </row>
    <row r="270" spans="1:1" ht="13.2">
      <c r="A270" s="13"/>
    </row>
    <row r="271" spans="1:1" ht="13.2">
      <c r="A271" s="13"/>
    </row>
    <row r="272" spans="1:1" ht="13.2">
      <c r="A272" s="13"/>
    </row>
    <row r="273" spans="1:1" ht="13.2">
      <c r="A273" s="13"/>
    </row>
    <row r="274" spans="1:1" ht="13.2">
      <c r="A274" s="13"/>
    </row>
    <row r="275" spans="1:1" ht="13.2">
      <c r="A275" s="13"/>
    </row>
    <row r="276" spans="1:1" ht="13.2">
      <c r="A276" s="13"/>
    </row>
    <row r="277" spans="1:1" ht="13.2">
      <c r="A277" s="13"/>
    </row>
    <row r="278" spans="1:1" ht="13.2">
      <c r="A278" s="13"/>
    </row>
    <row r="279" spans="1:1" ht="13.2">
      <c r="A279" s="13"/>
    </row>
    <row r="280" spans="1:1" ht="13.2">
      <c r="A280" s="13"/>
    </row>
    <row r="281" spans="1:1" ht="13.2">
      <c r="A281" s="13"/>
    </row>
    <row r="282" spans="1:1" ht="13.2">
      <c r="A282" s="13"/>
    </row>
    <row r="283" spans="1:1" ht="13.2">
      <c r="A283" s="13"/>
    </row>
    <row r="284" spans="1:1" ht="13.2">
      <c r="A284" s="13"/>
    </row>
    <row r="285" spans="1:1" ht="13.2">
      <c r="A285" s="13"/>
    </row>
    <row r="286" spans="1:1" ht="13.2">
      <c r="A286" s="13"/>
    </row>
    <row r="287" spans="1:1" ht="13.2">
      <c r="A287" s="13"/>
    </row>
    <row r="288" spans="1:1" ht="13.2">
      <c r="A288" s="13"/>
    </row>
    <row r="289" spans="1:1" ht="13.2">
      <c r="A289" s="13"/>
    </row>
    <row r="290" spans="1:1" ht="13.2">
      <c r="A290" s="13"/>
    </row>
    <row r="291" spans="1:1" ht="13.2">
      <c r="A291" s="13"/>
    </row>
    <row r="292" spans="1:1" ht="13.2">
      <c r="A292" s="13"/>
    </row>
    <row r="293" spans="1:1" ht="13.2">
      <c r="A293" s="13"/>
    </row>
    <row r="294" spans="1:1" ht="13.2">
      <c r="A294" s="13"/>
    </row>
    <row r="295" spans="1:1" ht="13.2">
      <c r="A295" s="13"/>
    </row>
    <row r="296" spans="1:1" ht="13.2">
      <c r="A296" s="13"/>
    </row>
    <row r="297" spans="1:1" ht="13.2">
      <c r="A297" s="13"/>
    </row>
    <row r="298" spans="1:1" ht="13.2">
      <c r="A298" s="13"/>
    </row>
    <row r="299" spans="1:1" ht="13.2">
      <c r="A299" s="13"/>
    </row>
    <row r="300" spans="1:1" ht="13.2">
      <c r="A300" s="13"/>
    </row>
    <row r="301" spans="1:1" ht="13.2">
      <c r="A301" s="13"/>
    </row>
    <row r="302" spans="1:1" ht="13.2">
      <c r="A302" s="13"/>
    </row>
    <row r="303" spans="1:1" ht="13.2">
      <c r="A303" s="13"/>
    </row>
    <row r="304" spans="1:1" ht="13.2">
      <c r="A304" s="13"/>
    </row>
    <row r="305" spans="1:1" ht="13.2">
      <c r="A305" s="13"/>
    </row>
    <row r="306" spans="1:1" ht="13.2">
      <c r="A306" s="13"/>
    </row>
    <row r="307" spans="1:1" ht="13.2">
      <c r="A307" s="13"/>
    </row>
    <row r="308" spans="1:1" ht="13.2">
      <c r="A308" s="13"/>
    </row>
    <row r="309" spans="1:1" ht="13.2">
      <c r="A309" s="13"/>
    </row>
    <row r="310" spans="1:1" ht="13.2">
      <c r="A310" s="13"/>
    </row>
    <row r="311" spans="1:1" ht="13.2">
      <c r="A311" s="13"/>
    </row>
    <row r="312" spans="1:1" ht="13.2">
      <c r="A312" s="13"/>
    </row>
    <row r="313" spans="1:1" ht="13.2">
      <c r="A313" s="13"/>
    </row>
    <row r="314" spans="1:1" ht="13.2">
      <c r="A314" s="13"/>
    </row>
    <row r="315" spans="1:1" ht="13.2">
      <c r="A315" s="13"/>
    </row>
    <row r="316" spans="1:1" ht="13.2">
      <c r="A316" s="13"/>
    </row>
    <row r="317" spans="1:1" ht="13.2">
      <c r="A317" s="13"/>
    </row>
    <row r="318" spans="1:1" ht="13.2">
      <c r="A318" s="13"/>
    </row>
    <row r="319" spans="1:1" ht="13.2">
      <c r="A319" s="13"/>
    </row>
    <row r="320" spans="1:1" ht="13.2">
      <c r="A320" s="13"/>
    </row>
    <row r="321" spans="1:1" ht="13.2">
      <c r="A321" s="13"/>
    </row>
    <row r="322" spans="1:1" ht="13.2">
      <c r="A322" s="13"/>
    </row>
    <row r="323" spans="1:1" ht="13.2">
      <c r="A323" s="13"/>
    </row>
    <row r="324" spans="1:1" ht="13.2">
      <c r="A324" s="13"/>
    </row>
    <row r="325" spans="1:1" ht="13.2">
      <c r="A325" s="13"/>
    </row>
    <row r="326" spans="1:1" ht="13.2">
      <c r="A326" s="13"/>
    </row>
    <row r="327" spans="1:1" ht="13.2">
      <c r="A327" s="13"/>
    </row>
    <row r="328" spans="1:1" ht="13.2">
      <c r="A328" s="13"/>
    </row>
    <row r="329" spans="1:1" ht="13.2">
      <c r="A329" s="13"/>
    </row>
    <row r="330" spans="1:1" ht="13.2">
      <c r="A330" s="13"/>
    </row>
    <row r="331" spans="1:1" ht="13.2">
      <c r="A331" s="13"/>
    </row>
    <row r="332" spans="1:1" ht="13.2">
      <c r="A332" s="13"/>
    </row>
    <row r="333" spans="1:1" ht="13.2">
      <c r="A333" s="13"/>
    </row>
    <row r="334" spans="1:1" ht="13.2">
      <c r="A334" s="13"/>
    </row>
    <row r="335" spans="1:1" ht="13.2">
      <c r="A335" s="13"/>
    </row>
    <row r="336" spans="1:1" ht="13.2">
      <c r="A336" s="13"/>
    </row>
    <row r="337" spans="1:1" ht="13.2">
      <c r="A337" s="13"/>
    </row>
    <row r="338" spans="1:1" ht="13.2">
      <c r="A338" s="13"/>
    </row>
    <row r="339" spans="1:1" ht="13.2">
      <c r="A339" s="13"/>
    </row>
    <row r="340" spans="1:1" ht="13.2">
      <c r="A340" s="13"/>
    </row>
    <row r="341" spans="1:1" ht="13.2">
      <c r="A341" s="13"/>
    </row>
    <row r="342" spans="1:1" ht="13.2">
      <c r="A342" s="13"/>
    </row>
    <row r="343" spans="1:1" ht="13.2">
      <c r="A343" s="13"/>
    </row>
    <row r="344" spans="1:1" ht="13.2">
      <c r="A344" s="13"/>
    </row>
    <row r="345" spans="1:1" ht="13.2">
      <c r="A345" s="13"/>
    </row>
    <row r="346" spans="1:1" ht="13.2">
      <c r="A346" s="13"/>
    </row>
    <row r="347" spans="1:1" ht="13.2">
      <c r="A347" s="13"/>
    </row>
    <row r="348" spans="1:1" ht="13.2">
      <c r="A348" s="13"/>
    </row>
    <row r="349" spans="1:1" ht="13.2">
      <c r="A349" s="13"/>
    </row>
    <row r="350" spans="1:1" ht="13.2">
      <c r="A350" s="13"/>
    </row>
    <row r="351" spans="1:1" ht="13.2">
      <c r="A351" s="13"/>
    </row>
    <row r="352" spans="1:1" ht="13.2">
      <c r="A352" s="13"/>
    </row>
    <row r="353" spans="1:1" ht="13.2">
      <c r="A353" s="13"/>
    </row>
    <row r="354" spans="1:1" ht="13.2">
      <c r="A354" s="13"/>
    </row>
    <row r="355" spans="1:1" ht="13.2">
      <c r="A355" s="13"/>
    </row>
    <row r="356" spans="1:1" ht="13.2">
      <c r="A356" s="13"/>
    </row>
    <row r="357" spans="1:1" ht="13.2">
      <c r="A357" s="13"/>
    </row>
    <row r="358" spans="1:1" ht="13.2">
      <c r="A358" s="13"/>
    </row>
    <row r="359" spans="1:1" ht="13.2">
      <c r="A359" s="13"/>
    </row>
    <row r="360" spans="1:1" ht="13.2">
      <c r="A360" s="13"/>
    </row>
    <row r="361" spans="1:1" ht="13.2">
      <c r="A361" s="13"/>
    </row>
    <row r="362" spans="1:1" ht="13.2">
      <c r="A362" s="13"/>
    </row>
    <row r="363" spans="1:1" ht="13.2">
      <c r="A363" s="13"/>
    </row>
    <row r="364" spans="1:1" ht="13.2">
      <c r="A364" s="13"/>
    </row>
    <row r="365" spans="1:1" ht="13.2">
      <c r="A365" s="13"/>
    </row>
    <row r="366" spans="1:1" ht="13.2">
      <c r="A366" s="13"/>
    </row>
    <row r="367" spans="1:1" ht="13.2">
      <c r="A367" s="13"/>
    </row>
    <row r="368" spans="1:1" ht="13.2">
      <c r="A368" s="13"/>
    </row>
    <row r="369" spans="1:1" ht="13.2">
      <c r="A369" s="13"/>
    </row>
    <row r="370" spans="1:1" ht="13.2">
      <c r="A370" s="13"/>
    </row>
    <row r="371" spans="1:1" ht="13.2">
      <c r="A371" s="13"/>
    </row>
    <row r="372" spans="1:1" ht="13.2">
      <c r="A372" s="13"/>
    </row>
    <row r="373" spans="1:1" ht="13.2">
      <c r="A373" s="13"/>
    </row>
    <row r="374" spans="1:1" ht="13.2">
      <c r="A374" s="13"/>
    </row>
    <row r="375" spans="1:1" ht="13.2">
      <c r="A375" s="13"/>
    </row>
    <row r="376" spans="1:1" ht="13.2">
      <c r="A376" s="13"/>
    </row>
    <row r="377" spans="1:1" ht="13.2">
      <c r="A377" s="13"/>
    </row>
    <row r="378" spans="1:1" ht="13.2">
      <c r="A378" s="13"/>
    </row>
    <row r="379" spans="1:1" ht="13.2">
      <c r="A379" s="13"/>
    </row>
    <row r="380" spans="1:1" ht="13.2">
      <c r="A380" s="13"/>
    </row>
    <row r="381" spans="1:1" ht="13.2">
      <c r="A381" s="13"/>
    </row>
    <row r="382" spans="1:1" ht="13.2">
      <c r="A382" s="13"/>
    </row>
    <row r="383" spans="1:1" ht="13.2">
      <c r="A383" s="13"/>
    </row>
    <row r="384" spans="1:1" ht="13.2">
      <c r="A384" s="13"/>
    </row>
    <row r="385" spans="1:1" ht="13.2">
      <c r="A385" s="13"/>
    </row>
    <row r="386" spans="1:1" ht="13.2">
      <c r="A386" s="13"/>
    </row>
    <row r="387" spans="1:1" ht="13.2">
      <c r="A387" s="13"/>
    </row>
    <row r="388" spans="1:1" ht="13.2">
      <c r="A388" s="13"/>
    </row>
    <row r="389" spans="1:1" ht="13.2">
      <c r="A389" s="13"/>
    </row>
    <row r="390" spans="1:1" ht="13.2">
      <c r="A390" s="13"/>
    </row>
    <row r="391" spans="1:1" ht="13.2">
      <c r="A391" s="13"/>
    </row>
    <row r="392" spans="1:1" ht="13.2">
      <c r="A392" s="13"/>
    </row>
    <row r="393" spans="1:1" ht="13.2">
      <c r="A393" s="13"/>
    </row>
    <row r="394" spans="1:1" ht="13.2">
      <c r="A394" s="13"/>
    </row>
    <row r="395" spans="1:1" ht="13.2">
      <c r="A395" s="13"/>
    </row>
    <row r="396" spans="1:1" ht="13.2">
      <c r="A396" s="13"/>
    </row>
    <row r="397" spans="1:1" ht="13.2">
      <c r="A397" s="13"/>
    </row>
    <row r="398" spans="1:1" ht="13.2">
      <c r="A398" s="13"/>
    </row>
    <row r="399" spans="1:1" ht="13.2">
      <c r="A399" s="13"/>
    </row>
    <row r="400" spans="1:1" ht="13.2">
      <c r="A400" s="13"/>
    </row>
    <row r="401" spans="1:1" ht="13.2">
      <c r="A401" s="13"/>
    </row>
    <row r="402" spans="1:1" ht="13.2">
      <c r="A402" s="13"/>
    </row>
    <row r="403" spans="1:1" ht="13.2">
      <c r="A403" s="13"/>
    </row>
    <row r="404" spans="1:1" ht="13.2">
      <c r="A404" s="13"/>
    </row>
    <row r="405" spans="1:1" ht="13.2">
      <c r="A405" s="13"/>
    </row>
    <row r="406" spans="1:1" ht="13.2">
      <c r="A406" s="13"/>
    </row>
    <row r="407" spans="1:1" ht="13.2">
      <c r="A407" s="13"/>
    </row>
    <row r="408" spans="1:1" ht="13.2">
      <c r="A408" s="13"/>
    </row>
    <row r="409" spans="1:1" ht="13.2">
      <c r="A409" s="13"/>
    </row>
    <row r="410" spans="1:1" ht="13.2">
      <c r="A410" s="13"/>
    </row>
    <row r="411" spans="1:1" ht="13.2">
      <c r="A411" s="13"/>
    </row>
    <row r="412" spans="1:1" ht="13.2">
      <c r="A412" s="13"/>
    </row>
    <row r="413" spans="1:1" ht="13.2">
      <c r="A413" s="13"/>
    </row>
    <row r="414" spans="1:1" ht="13.2">
      <c r="A414" s="13"/>
    </row>
    <row r="415" spans="1:1" ht="13.2">
      <c r="A415" s="13"/>
    </row>
    <row r="416" spans="1:1" ht="13.2">
      <c r="A416" s="13"/>
    </row>
    <row r="417" spans="1:1" ht="13.2">
      <c r="A417" s="13"/>
    </row>
    <row r="418" spans="1:1" ht="13.2">
      <c r="A418" s="13"/>
    </row>
    <row r="419" spans="1:1" ht="13.2">
      <c r="A419" s="13"/>
    </row>
    <row r="420" spans="1:1" ht="13.2">
      <c r="A420" s="13"/>
    </row>
    <row r="421" spans="1:1" ht="13.2">
      <c r="A421" s="13"/>
    </row>
    <row r="422" spans="1:1" ht="13.2">
      <c r="A422" s="13"/>
    </row>
    <row r="423" spans="1:1" ht="13.2">
      <c r="A423" s="13"/>
    </row>
    <row r="424" spans="1:1" ht="13.2">
      <c r="A424" s="13"/>
    </row>
    <row r="425" spans="1:1" ht="13.2">
      <c r="A425" s="13"/>
    </row>
    <row r="426" spans="1:1" ht="13.2">
      <c r="A426" s="13"/>
    </row>
    <row r="427" spans="1:1" ht="13.2">
      <c r="A427" s="13"/>
    </row>
    <row r="428" spans="1:1" ht="13.2">
      <c r="A428" s="13"/>
    </row>
    <row r="429" spans="1:1" ht="13.2">
      <c r="A429" s="13"/>
    </row>
    <row r="430" spans="1:1" ht="13.2">
      <c r="A430" s="13"/>
    </row>
    <row r="431" spans="1:1" ht="13.2">
      <c r="A431" s="13"/>
    </row>
    <row r="432" spans="1:1" ht="13.2">
      <c r="A432" s="13"/>
    </row>
    <row r="433" spans="1:1" ht="13.2">
      <c r="A433" s="13"/>
    </row>
    <row r="434" spans="1:1" ht="13.2">
      <c r="A434" s="13"/>
    </row>
    <row r="435" spans="1:1" ht="13.2">
      <c r="A435" s="13"/>
    </row>
    <row r="436" spans="1:1" ht="13.2">
      <c r="A436" s="13"/>
    </row>
    <row r="437" spans="1:1" ht="13.2">
      <c r="A437" s="13"/>
    </row>
    <row r="438" spans="1:1" ht="13.2">
      <c r="A438" s="13"/>
    </row>
    <row r="439" spans="1:1" ht="13.2">
      <c r="A439" s="13"/>
    </row>
    <row r="440" spans="1:1" ht="13.2">
      <c r="A440" s="13"/>
    </row>
    <row r="441" spans="1:1" ht="13.2">
      <c r="A441" s="13"/>
    </row>
    <row r="442" spans="1:1" ht="13.2">
      <c r="A442" s="13"/>
    </row>
    <row r="443" spans="1:1" ht="13.2">
      <c r="A443" s="13"/>
    </row>
    <row r="444" spans="1:1" ht="13.2">
      <c r="A444" s="13"/>
    </row>
    <row r="445" spans="1:1" ht="13.2">
      <c r="A445" s="13"/>
    </row>
    <row r="446" spans="1:1" ht="13.2">
      <c r="A446" s="13"/>
    </row>
    <row r="447" spans="1:1" ht="13.2">
      <c r="A447" s="13"/>
    </row>
    <row r="448" spans="1:1" ht="13.2">
      <c r="A448" s="13"/>
    </row>
    <row r="449" spans="1:1" ht="13.2">
      <c r="A449" s="13"/>
    </row>
    <row r="450" spans="1:1" ht="13.2">
      <c r="A450" s="13"/>
    </row>
    <row r="451" spans="1:1" ht="13.2">
      <c r="A451" s="13"/>
    </row>
    <row r="452" spans="1:1" ht="13.2">
      <c r="A452" s="13"/>
    </row>
    <row r="453" spans="1:1" ht="13.2">
      <c r="A453" s="13"/>
    </row>
    <row r="454" spans="1:1" ht="13.2">
      <c r="A454" s="13"/>
    </row>
    <row r="455" spans="1:1" ht="13.2">
      <c r="A455" s="13"/>
    </row>
    <row r="456" spans="1:1" ht="13.2">
      <c r="A456" s="13"/>
    </row>
    <row r="457" spans="1:1" ht="13.2">
      <c r="A457" s="13"/>
    </row>
    <row r="458" spans="1:1" ht="13.2">
      <c r="A458" s="13"/>
    </row>
    <row r="459" spans="1:1" ht="13.2">
      <c r="A459" s="13"/>
    </row>
    <row r="460" spans="1:1" ht="13.2">
      <c r="A460" s="13"/>
    </row>
    <row r="461" spans="1:1" ht="13.2">
      <c r="A461" s="13"/>
    </row>
    <row r="462" spans="1:1" ht="13.2">
      <c r="A462" s="13"/>
    </row>
    <row r="463" spans="1:1" ht="13.2">
      <c r="A463" s="13"/>
    </row>
    <row r="464" spans="1:1" ht="13.2">
      <c r="A464" s="13"/>
    </row>
    <row r="465" spans="1:1" ht="13.2">
      <c r="A465" s="13"/>
    </row>
    <row r="466" spans="1:1" ht="13.2">
      <c r="A466" s="13"/>
    </row>
    <row r="467" spans="1:1" ht="13.2">
      <c r="A467" s="13"/>
    </row>
    <row r="468" spans="1:1" ht="13.2">
      <c r="A468" s="13"/>
    </row>
    <row r="469" spans="1:1" ht="13.2">
      <c r="A469" s="13"/>
    </row>
    <row r="470" spans="1:1" ht="13.2">
      <c r="A470" s="13"/>
    </row>
    <row r="471" spans="1:1" ht="13.2">
      <c r="A471" s="13"/>
    </row>
    <row r="472" spans="1:1" ht="13.2">
      <c r="A472" s="13"/>
    </row>
    <row r="473" spans="1:1" ht="13.2">
      <c r="A473" s="13"/>
    </row>
    <row r="474" spans="1:1" ht="13.2">
      <c r="A474" s="13"/>
    </row>
    <row r="475" spans="1:1" ht="13.2">
      <c r="A475" s="13"/>
    </row>
    <row r="476" spans="1:1" ht="13.2">
      <c r="A476" s="13"/>
    </row>
    <row r="477" spans="1:1" ht="13.2">
      <c r="A477" s="13"/>
    </row>
    <row r="478" spans="1:1" ht="13.2">
      <c r="A478" s="13"/>
    </row>
    <row r="479" spans="1:1" ht="13.2">
      <c r="A479" s="13"/>
    </row>
    <row r="480" spans="1:1" ht="13.2">
      <c r="A480" s="13"/>
    </row>
    <row r="481" spans="1:1" ht="13.2">
      <c r="A481" s="13"/>
    </row>
    <row r="482" spans="1:1" ht="13.2">
      <c r="A482" s="13"/>
    </row>
    <row r="483" spans="1:1" ht="13.2">
      <c r="A483" s="13"/>
    </row>
    <row r="484" spans="1:1" ht="13.2">
      <c r="A484" s="13"/>
    </row>
    <row r="485" spans="1:1" ht="13.2">
      <c r="A485" s="13"/>
    </row>
    <row r="486" spans="1:1" ht="13.2">
      <c r="A486" s="13"/>
    </row>
    <row r="487" spans="1:1" ht="13.2">
      <c r="A487" s="13"/>
    </row>
    <row r="488" spans="1:1" ht="13.2">
      <c r="A488" s="13"/>
    </row>
    <row r="489" spans="1:1" ht="13.2">
      <c r="A489" s="13"/>
    </row>
    <row r="490" spans="1:1" ht="13.2">
      <c r="A490" s="13"/>
    </row>
    <row r="491" spans="1:1" ht="13.2">
      <c r="A491" s="13"/>
    </row>
    <row r="492" spans="1:1" ht="13.2">
      <c r="A492" s="13"/>
    </row>
    <row r="493" spans="1:1" ht="13.2">
      <c r="A493" s="13"/>
    </row>
    <row r="494" spans="1:1" ht="13.2">
      <c r="A494" s="13"/>
    </row>
    <row r="495" spans="1:1" ht="13.2">
      <c r="A495" s="13"/>
    </row>
    <row r="496" spans="1:1" ht="13.2">
      <c r="A496" s="13"/>
    </row>
    <row r="497" spans="1:1" ht="13.2">
      <c r="A497" s="13"/>
    </row>
    <row r="498" spans="1:1" ht="13.2">
      <c r="A498" s="13"/>
    </row>
    <row r="499" spans="1:1" ht="13.2">
      <c r="A499" s="13"/>
    </row>
    <row r="500" spans="1:1" ht="13.2">
      <c r="A500" s="13"/>
    </row>
    <row r="501" spans="1:1" ht="13.2">
      <c r="A501" s="13"/>
    </row>
    <row r="502" spans="1:1" ht="13.2">
      <c r="A502" s="13"/>
    </row>
    <row r="503" spans="1:1" ht="13.2">
      <c r="A503" s="13"/>
    </row>
    <row r="504" spans="1:1" ht="13.2">
      <c r="A504" s="13"/>
    </row>
    <row r="505" spans="1:1" ht="13.2">
      <c r="A505" s="13"/>
    </row>
    <row r="506" spans="1:1" ht="13.2">
      <c r="A506" s="13"/>
    </row>
    <row r="507" spans="1:1" ht="13.2">
      <c r="A507" s="13"/>
    </row>
    <row r="508" spans="1:1" ht="13.2">
      <c r="A508" s="13"/>
    </row>
    <row r="509" spans="1:1" ht="13.2">
      <c r="A509" s="13"/>
    </row>
    <row r="510" spans="1:1" ht="13.2">
      <c r="A510" s="13"/>
    </row>
    <row r="511" spans="1:1" ht="13.2">
      <c r="A511" s="13"/>
    </row>
    <row r="512" spans="1:1" ht="13.2">
      <c r="A512" s="13"/>
    </row>
    <row r="513" spans="1:1" ht="13.2">
      <c r="A513" s="13"/>
    </row>
    <row r="514" spans="1:1" ht="13.2">
      <c r="A514" s="13"/>
    </row>
    <row r="515" spans="1:1" ht="13.2">
      <c r="A515" s="13"/>
    </row>
    <row r="516" spans="1:1" ht="13.2">
      <c r="A516" s="13"/>
    </row>
    <row r="517" spans="1:1" ht="13.2">
      <c r="A517" s="13"/>
    </row>
    <row r="518" spans="1:1" ht="13.2">
      <c r="A518" s="13"/>
    </row>
    <row r="519" spans="1:1" ht="13.2">
      <c r="A519" s="13"/>
    </row>
    <row r="520" spans="1:1" ht="13.2">
      <c r="A520" s="13"/>
    </row>
    <row r="521" spans="1:1" ht="13.2">
      <c r="A521" s="13"/>
    </row>
    <row r="522" spans="1:1" ht="13.2">
      <c r="A522" s="13"/>
    </row>
    <row r="523" spans="1:1" ht="13.2">
      <c r="A523" s="13"/>
    </row>
    <row r="524" spans="1:1" ht="13.2">
      <c r="A524" s="13"/>
    </row>
    <row r="525" spans="1:1" ht="13.2">
      <c r="A525" s="13"/>
    </row>
    <row r="526" spans="1:1" ht="13.2">
      <c r="A526" s="13"/>
    </row>
    <row r="527" spans="1:1" ht="13.2">
      <c r="A527" s="13"/>
    </row>
    <row r="528" spans="1:1" ht="13.2">
      <c r="A528" s="13"/>
    </row>
    <row r="529" spans="1:1" ht="13.2">
      <c r="A529" s="13"/>
    </row>
    <row r="530" spans="1:1" ht="13.2">
      <c r="A530" s="13"/>
    </row>
    <row r="531" spans="1:1" ht="13.2">
      <c r="A531" s="13"/>
    </row>
    <row r="532" spans="1:1" ht="13.2">
      <c r="A532" s="13"/>
    </row>
    <row r="533" spans="1:1" ht="13.2">
      <c r="A533" s="13"/>
    </row>
    <row r="534" spans="1:1" ht="13.2">
      <c r="A534" s="13"/>
    </row>
    <row r="535" spans="1:1" ht="13.2">
      <c r="A535" s="13"/>
    </row>
    <row r="536" spans="1:1" ht="13.2">
      <c r="A536" s="13"/>
    </row>
    <row r="537" spans="1:1" ht="13.2">
      <c r="A537" s="13"/>
    </row>
    <row r="538" spans="1:1" ht="13.2">
      <c r="A538" s="13"/>
    </row>
    <row r="539" spans="1:1" ht="13.2">
      <c r="A539" s="13"/>
    </row>
    <row r="540" spans="1:1" ht="13.2">
      <c r="A540" s="13"/>
    </row>
    <row r="541" spans="1:1" ht="13.2">
      <c r="A541" s="13"/>
    </row>
    <row r="542" spans="1:1" ht="13.2">
      <c r="A542" s="13"/>
    </row>
    <row r="543" spans="1:1" ht="13.2">
      <c r="A543" s="13"/>
    </row>
    <row r="544" spans="1:1" ht="13.2">
      <c r="A544" s="13"/>
    </row>
    <row r="545" spans="1:1" ht="13.2">
      <c r="A545" s="13"/>
    </row>
    <row r="546" spans="1:1" ht="13.2">
      <c r="A546" s="13"/>
    </row>
    <row r="547" spans="1:1" ht="13.2">
      <c r="A547" s="13"/>
    </row>
    <row r="548" spans="1:1" ht="13.2">
      <c r="A548" s="13"/>
    </row>
    <row r="549" spans="1:1" ht="13.2">
      <c r="A549" s="13"/>
    </row>
    <row r="550" spans="1:1" ht="13.2">
      <c r="A550" s="13"/>
    </row>
    <row r="551" spans="1:1" ht="13.2">
      <c r="A551" s="13"/>
    </row>
    <row r="552" spans="1:1" ht="13.2">
      <c r="A552" s="13"/>
    </row>
    <row r="553" spans="1:1" ht="13.2">
      <c r="A553" s="13"/>
    </row>
    <row r="554" spans="1:1" ht="13.2">
      <c r="A554" s="13"/>
    </row>
    <row r="555" spans="1:1" ht="13.2">
      <c r="A555" s="13"/>
    </row>
    <row r="556" spans="1:1" ht="13.2">
      <c r="A556" s="13"/>
    </row>
    <row r="557" spans="1:1" ht="13.2">
      <c r="A557" s="13"/>
    </row>
    <row r="558" spans="1:1" ht="13.2">
      <c r="A558" s="13"/>
    </row>
    <row r="559" spans="1:1" ht="13.2">
      <c r="A559" s="13"/>
    </row>
    <row r="560" spans="1:1" ht="13.2">
      <c r="A560" s="13"/>
    </row>
    <row r="561" spans="1:1" ht="13.2">
      <c r="A561" s="13"/>
    </row>
    <row r="562" spans="1:1" ht="13.2">
      <c r="A562" s="13"/>
    </row>
    <row r="563" spans="1:1" ht="13.2">
      <c r="A563" s="13"/>
    </row>
    <row r="564" spans="1:1" ht="13.2">
      <c r="A564" s="13"/>
    </row>
    <row r="565" spans="1:1" ht="13.2">
      <c r="A565" s="13"/>
    </row>
    <row r="566" spans="1:1" ht="13.2">
      <c r="A566" s="13"/>
    </row>
    <row r="567" spans="1:1" ht="13.2">
      <c r="A567" s="13"/>
    </row>
    <row r="568" spans="1:1" ht="13.2">
      <c r="A568" s="13"/>
    </row>
    <row r="569" spans="1:1" ht="13.2">
      <c r="A569" s="13"/>
    </row>
    <row r="570" spans="1:1" ht="13.2">
      <c r="A570" s="13"/>
    </row>
    <row r="571" spans="1:1" ht="13.2">
      <c r="A571" s="13"/>
    </row>
    <row r="572" spans="1:1" ht="13.2">
      <c r="A572" s="13"/>
    </row>
    <row r="573" spans="1:1" ht="13.2">
      <c r="A573" s="13"/>
    </row>
    <row r="574" spans="1:1" ht="13.2">
      <c r="A574" s="13"/>
    </row>
    <row r="575" spans="1:1" ht="13.2">
      <c r="A575" s="13"/>
    </row>
    <row r="576" spans="1:1" ht="13.2">
      <c r="A576" s="13"/>
    </row>
    <row r="577" spans="1:1" ht="13.2">
      <c r="A577" s="13"/>
    </row>
    <row r="578" spans="1:1" ht="13.2">
      <c r="A578" s="13"/>
    </row>
    <row r="579" spans="1:1" ht="13.2">
      <c r="A579" s="13"/>
    </row>
    <row r="580" spans="1:1" ht="13.2">
      <c r="A580" s="13"/>
    </row>
    <row r="581" spans="1:1" ht="13.2">
      <c r="A581" s="13"/>
    </row>
    <row r="582" spans="1:1" ht="13.2">
      <c r="A582" s="13"/>
    </row>
    <row r="583" spans="1:1" ht="13.2">
      <c r="A583" s="13"/>
    </row>
    <row r="584" spans="1:1" ht="13.2">
      <c r="A584" s="13"/>
    </row>
    <row r="585" spans="1:1" ht="13.2">
      <c r="A585" s="13"/>
    </row>
    <row r="586" spans="1:1" ht="13.2">
      <c r="A586" s="13"/>
    </row>
    <row r="587" spans="1:1" ht="13.2">
      <c r="A587" s="13"/>
    </row>
    <row r="588" spans="1:1" ht="13.2">
      <c r="A588" s="13"/>
    </row>
    <row r="589" spans="1:1" ht="13.2">
      <c r="A589" s="13"/>
    </row>
    <row r="590" spans="1:1" ht="13.2">
      <c r="A590" s="13"/>
    </row>
    <row r="591" spans="1:1" ht="13.2">
      <c r="A591" s="13"/>
    </row>
    <row r="592" spans="1:1" ht="13.2">
      <c r="A592" s="13"/>
    </row>
    <row r="593" spans="1:1" ht="13.2">
      <c r="A593" s="13"/>
    </row>
    <row r="594" spans="1:1" ht="13.2">
      <c r="A594" s="13"/>
    </row>
    <row r="595" spans="1:1" ht="13.2">
      <c r="A595" s="13"/>
    </row>
    <row r="596" spans="1:1" ht="13.2">
      <c r="A596" s="13"/>
    </row>
    <row r="597" spans="1:1" ht="13.2">
      <c r="A597" s="13"/>
    </row>
    <row r="598" spans="1:1" ht="13.2">
      <c r="A598" s="13"/>
    </row>
    <row r="599" spans="1:1" ht="13.2">
      <c r="A599" s="13"/>
    </row>
    <row r="600" spans="1:1" ht="13.2">
      <c r="A600" s="13"/>
    </row>
    <row r="601" spans="1:1" ht="13.2">
      <c r="A601" s="13"/>
    </row>
    <row r="602" spans="1:1" ht="13.2">
      <c r="A602" s="13"/>
    </row>
    <row r="603" spans="1:1" ht="13.2">
      <c r="A603" s="13"/>
    </row>
    <row r="604" spans="1:1" ht="13.2">
      <c r="A604" s="13"/>
    </row>
    <row r="605" spans="1:1" ht="13.2">
      <c r="A605" s="13"/>
    </row>
    <row r="606" spans="1:1" ht="13.2">
      <c r="A606" s="13"/>
    </row>
    <row r="607" spans="1:1" ht="13.2">
      <c r="A607" s="13"/>
    </row>
    <row r="608" spans="1:1" ht="13.2">
      <c r="A608" s="13"/>
    </row>
    <row r="609" spans="1:1" ht="13.2">
      <c r="A609" s="13"/>
    </row>
    <row r="610" spans="1:1" ht="13.2">
      <c r="A610" s="13"/>
    </row>
    <row r="611" spans="1:1" ht="13.2">
      <c r="A611" s="13"/>
    </row>
    <row r="612" spans="1:1" ht="13.2">
      <c r="A612" s="13"/>
    </row>
    <row r="613" spans="1:1" ht="13.2">
      <c r="A613" s="13"/>
    </row>
    <row r="614" spans="1:1" ht="13.2">
      <c r="A614" s="13"/>
    </row>
    <row r="615" spans="1:1" ht="13.2">
      <c r="A615" s="13"/>
    </row>
    <row r="616" spans="1:1" ht="13.2">
      <c r="A616" s="13"/>
    </row>
    <row r="617" spans="1:1" ht="13.2">
      <c r="A617" s="13"/>
    </row>
    <row r="618" spans="1:1" ht="13.2">
      <c r="A618" s="13"/>
    </row>
    <row r="619" spans="1:1" ht="13.2">
      <c r="A619" s="13"/>
    </row>
    <row r="620" spans="1:1" ht="13.2">
      <c r="A620" s="13"/>
    </row>
    <row r="621" spans="1:1" ht="13.2">
      <c r="A621" s="13"/>
    </row>
    <row r="622" spans="1:1" ht="13.2">
      <c r="A622" s="13"/>
    </row>
    <row r="623" spans="1:1" ht="13.2">
      <c r="A623" s="13"/>
    </row>
    <row r="624" spans="1:1" ht="13.2">
      <c r="A624" s="13"/>
    </row>
    <row r="625" spans="1:1" ht="13.2">
      <c r="A625" s="13"/>
    </row>
    <row r="626" spans="1:1" ht="13.2">
      <c r="A626" s="13"/>
    </row>
    <row r="627" spans="1:1" ht="13.2">
      <c r="A627" s="13"/>
    </row>
    <row r="628" spans="1:1" ht="13.2">
      <c r="A628" s="13"/>
    </row>
    <row r="629" spans="1:1" ht="13.2">
      <c r="A629" s="13"/>
    </row>
    <row r="630" spans="1:1" ht="13.2">
      <c r="A630" s="13"/>
    </row>
    <row r="631" spans="1:1" ht="13.2">
      <c r="A631" s="13"/>
    </row>
    <row r="632" spans="1:1" ht="13.2">
      <c r="A632" s="13"/>
    </row>
    <row r="633" spans="1:1" ht="13.2">
      <c r="A633" s="13"/>
    </row>
    <row r="634" spans="1:1" ht="13.2">
      <c r="A634" s="13"/>
    </row>
    <row r="635" spans="1:1" ht="13.2">
      <c r="A635" s="13"/>
    </row>
    <row r="636" spans="1:1" ht="13.2">
      <c r="A636" s="13"/>
    </row>
    <row r="637" spans="1:1" ht="13.2">
      <c r="A637" s="13"/>
    </row>
    <row r="638" spans="1:1" ht="13.2">
      <c r="A638" s="13"/>
    </row>
    <row r="639" spans="1:1" ht="13.2">
      <c r="A639" s="13"/>
    </row>
    <row r="640" spans="1:1" ht="13.2">
      <c r="A640" s="13"/>
    </row>
    <row r="641" spans="1:1" ht="13.2">
      <c r="A641" s="13"/>
    </row>
    <row r="642" spans="1:1" ht="13.2">
      <c r="A642" s="13"/>
    </row>
    <row r="643" spans="1:1" ht="13.2">
      <c r="A643" s="13"/>
    </row>
    <row r="644" spans="1:1" ht="13.2">
      <c r="A644" s="13"/>
    </row>
    <row r="645" spans="1:1" ht="13.2">
      <c r="A645" s="13"/>
    </row>
    <row r="646" spans="1:1" ht="13.2">
      <c r="A646" s="13"/>
    </row>
    <row r="647" spans="1:1" ht="13.2">
      <c r="A647" s="13"/>
    </row>
    <row r="648" spans="1:1" ht="13.2">
      <c r="A648" s="13"/>
    </row>
    <row r="649" spans="1:1" ht="13.2">
      <c r="A649" s="13"/>
    </row>
    <row r="650" spans="1:1" ht="13.2">
      <c r="A650" s="13"/>
    </row>
    <row r="651" spans="1:1" ht="13.2">
      <c r="A651" s="13"/>
    </row>
    <row r="652" spans="1:1" ht="13.2">
      <c r="A652" s="13"/>
    </row>
    <row r="653" spans="1:1" ht="13.2">
      <c r="A653" s="13"/>
    </row>
    <row r="654" spans="1:1" ht="13.2">
      <c r="A654" s="13"/>
    </row>
    <row r="655" spans="1:1" ht="13.2">
      <c r="A655" s="13"/>
    </row>
    <row r="656" spans="1:1" ht="13.2">
      <c r="A656" s="13"/>
    </row>
    <row r="657" spans="1:1" ht="13.2">
      <c r="A657" s="13"/>
    </row>
    <row r="658" spans="1:1" ht="13.2">
      <c r="A658" s="13"/>
    </row>
    <row r="659" spans="1:1" ht="13.2">
      <c r="A659" s="13"/>
    </row>
    <row r="660" spans="1:1" ht="13.2">
      <c r="A660" s="13"/>
    </row>
    <row r="661" spans="1:1" ht="13.2">
      <c r="A661" s="13"/>
    </row>
    <row r="662" spans="1:1" ht="13.2">
      <c r="A662" s="13"/>
    </row>
    <row r="663" spans="1:1" ht="13.2">
      <c r="A663" s="13"/>
    </row>
    <row r="664" spans="1:1" ht="13.2">
      <c r="A664" s="13"/>
    </row>
    <row r="665" spans="1:1" ht="13.2">
      <c r="A665" s="13"/>
    </row>
    <row r="666" spans="1:1" ht="13.2">
      <c r="A666" s="13"/>
    </row>
    <row r="667" spans="1:1" ht="13.2">
      <c r="A667" s="13"/>
    </row>
    <row r="668" spans="1:1" ht="13.2">
      <c r="A668" s="13"/>
    </row>
    <row r="669" spans="1:1" ht="13.2">
      <c r="A669" s="13"/>
    </row>
    <row r="670" spans="1:1" ht="13.2">
      <c r="A670" s="13"/>
    </row>
    <row r="671" spans="1:1" ht="13.2">
      <c r="A671" s="13"/>
    </row>
    <row r="672" spans="1:1" ht="13.2">
      <c r="A672" s="13"/>
    </row>
    <row r="673" spans="1:1" ht="13.2">
      <c r="A673" s="13"/>
    </row>
    <row r="674" spans="1:1" ht="13.2">
      <c r="A674" s="13"/>
    </row>
    <row r="675" spans="1:1" ht="13.2">
      <c r="A675" s="13"/>
    </row>
    <row r="676" spans="1:1" ht="13.2">
      <c r="A676" s="13"/>
    </row>
    <row r="677" spans="1:1" ht="13.2">
      <c r="A677" s="13"/>
    </row>
    <row r="678" spans="1:1" ht="13.2">
      <c r="A678" s="13"/>
    </row>
    <row r="679" spans="1:1" ht="13.2">
      <c r="A679" s="13"/>
    </row>
    <row r="680" spans="1:1" ht="13.2">
      <c r="A680" s="13"/>
    </row>
    <row r="681" spans="1:1" ht="13.2">
      <c r="A681" s="13"/>
    </row>
    <row r="682" spans="1:1" ht="13.2">
      <c r="A682" s="13"/>
    </row>
    <row r="683" spans="1:1" ht="13.2">
      <c r="A683" s="13"/>
    </row>
    <row r="684" spans="1:1" ht="13.2">
      <c r="A684" s="13"/>
    </row>
    <row r="685" spans="1:1" ht="13.2">
      <c r="A685" s="13"/>
    </row>
    <row r="686" spans="1:1" ht="13.2">
      <c r="A686" s="13"/>
    </row>
    <row r="687" spans="1:1" ht="13.2">
      <c r="A687" s="13"/>
    </row>
    <row r="688" spans="1:1" ht="13.2">
      <c r="A688" s="13"/>
    </row>
    <row r="689" spans="1:1" ht="13.2">
      <c r="A689" s="13"/>
    </row>
    <row r="690" spans="1:1" ht="13.2">
      <c r="A690" s="13"/>
    </row>
    <row r="691" spans="1:1" ht="13.2">
      <c r="A691" s="13"/>
    </row>
    <row r="692" spans="1:1" ht="13.2">
      <c r="A692" s="13"/>
    </row>
    <row r="693" spans="1:1" ht="13.2">
      <c r="A693" s="13"/>
    </row>
    <row r="694" spans="1:1" ht="13.2">
      <c r="A694" s="13"/>
    </row>
    <row r="695" spans="1:1" ht="13.2">
      <c r="A695" s="13"/>
    </row>
    <row r="696" spans="1:1" ht="13.2">
      <c r="A696" s="13"/>
    </row>
    <row r="697" spans="1:1" ht="13.2">
      <c r="A697" s="13"/>
    </row>
    <row r="698" spans="1:1" ht="13.2">
      <c r="A698" s="13"/>
    </row>
    <row r="699" spans="1:1" ht="13.2">
      <c r="A699" s="13"/>
    </row>
    <row r="700" spans="1:1" ht="13.2">
      <c r="A700" s="13"/>
    </row>
    <row r="701" spans="1:1" ht="13.2">
      <c r="A701" s="13"/>
    </row>
    <row r="702" spans="1:1" ht="13.2">
      <c r="A702" s="13"/>
    </row>
    <row r="703" spans="1:1" ht="13.2">
      <c r="A703" s="13"/>
    </row>
    <row r="704" spans="1:1" ht="13.2">
      <c r="A704" s="13"/>
    </row>
    <row r="705" spans="1:1" ht="13.2">
      <c r="A705" s="13"/>
    </row>
    <row r="706" spans="1:1" ht="13.2">
      <c r="A706" s="13"/>
    </row>
    <row r="707" spans="1:1" ht="13.2">
      <c r="A707" s="13"/>
    </row>
    <row r="708" spans="1:1" ht="13.2">
      <c r="A708" s="13"/>
    </row>
    <row r="709" spans="1:1" ht="13.2">
      <c r="A709" s="13"/>
    </row>
    <row r="710" spans="1:1" ht="13.2">
      <c r="A710" s="13"/>
    </row>
    <row r="711" spans="1:1" ht="13.2">
      <c r="A711" s="13"/>
    </row>
    <row r="712" spans="1:1" ht="13.2">
      <c r="A712" s="13"/>
    </row>
    <row r="713" spans="1:1" ht="13.2">
      <c r="A713" s="13"/>
    </row>
    <row r="714" spans="1:1" ht="13.2">
      <c r="A714" s="13"/>
    </row>
    <row r="715" spans="1:1" ht="13.2">
      <c r="A715" s="13"/>
    </row>
    <row r="716" spans="1:1" ht="13.2">
      <c r="A716" s="13"/>
    </row>
    <row r="717" spans="1:1" ht="13.2">
      <c r="A717" s="13"/>
    </row>
    <row r="718" spans="1:1" ht="13.2">
      <c r="A718" s="13"/>
    </row>
    <row r="719" spans="1:1" ht="13.2">
      <c r="A719" s="13"/>
    </row>
    <row r="720" spans="1:1" ht="13.2">
      <c r="A720" s="13"/>
    </row>
    <row r="721" spans="1:1" ht="13.2">
      <c r="A721" s="13"/>
    </row>
    <row r="722" spans="1:1" ht="13.2">
      <c r="A722" s="13"/>
    </row>
    <row r="723" spans="1:1" ht="13.2">
      <c r="A723" s="13"/>
    </row>
    <row r="724" spans="1:1" ht="13.2">
      <c r="A724" s="13"/>
    </row>
    <row r="725" spans="1:1" ht="13.2">
      <c r="A725" s="13"/>
    </row>
    <row r="726" spans="1:1" ht="13.2">
      <c r="A726" s="13"/>
    </row>
    <row r="727" spans="1:1" ht="13.2">
      <c r="A727" s="13"/>
    </row>
    <row r="728" spans="1:1" ht="13.2">
      <c r="A728" s="13"/>
    </row>
    <row r="729" spans="1:1" ht="13.2">
      <c r="A729" s="13"/>
    </row>
    <row r="730" spans="1:1" ht="13.2">
      <c r="A730" s="13"/>
    </row>
    <row r="731" spans="1:1" ht="13.2">
      <c r="A731" s="13"/>
    </row>
    <row r="732" spans="1:1" ht="13.2">
      <c r="A732" s="13"/>
    </row>
    <row r="733" spans="1:1" ht="13.2">
      <c r="A733" s="13"/>
    </row>
    <row r="734" spans="1:1" ht="13.2">
      <c r="A734" s="13"/>
    </row>
    <row r="735" spans="1:1" ht="13.2">
      <c r="A735" s="13"/>
    </row>
    <row r="736" spans="1:1" ht="13.2">
      <c r="A736" s="13"/>
    </row>
    <row r="737" spans="1:1" ht="13.2">
      <c r="A737" s="13"/>
    </row>
    <row r="738" spans="1:1" ht="13.2">
      <c r="A738" s="13"/>
    </row>
    <row r="739" spans="1:1" ht="13.2">
      <c r="A739" s="13"/>
    </row>
    <row r="740" spans="1:1" ht="13.2">
      <c r="A740" s="13"/>
    </row>
    <row r="741" spans="1:1" ht="13.2">
      <c r="A741" s="13"/>
    </row>
    <row r="742" spans="1:1" ht="13.2">
      <c r="A742" s="13"/>
    </row>
    <row r="743" spans="1:1" ht="13.2">
      <c r="A743" s="13"/>
    </row>
    <row r="744" spans="1:1" ht="13.2">
      <c r="A744" s="13"/>
    </row>
    <row r="745" spans="1:1" ht="13.2">
      <c r="A745" s="13"/>
    </row>
    <row r="746" spans="1:1" ht="13.2">
      <c r="A746" s="13"/>
    </row>
    <row r="747" spans="1:1" ht="13.2">
      <c r="A747" s="13"/>
    </row>
    <row r="748" spans="1:1" ht="13.2">
      <c r="A748" s="13"/>
    </row>
    <row r="749" spans="1:1" ht="13.2">
      <c r="A749" s="13"/>
    </row>
    <row r="750" spans="1:1" ht="13.2">
      <c r="A750" s="13"/>
    </row>
    <row r="751" spans="1:1" ht="13.2">
      <c r="A751" s="13"/>
    </row>
    <row r="752" spans="1:1" ht="13.2">
      <c r="A752" s="13"/>
    </row>
    <row r="753" spans="1:1" ht="13.2">
      <c r="A753" s="13"/>
    </row>
    <row r="754" spans="1:1" ht="13.2">
      <c r="A754" s="13"/>
    </row>
    <row r="755" spans="1:1" ht="13.2">
      <c r="A755" s="13"/>
    </row>
    <row r="756" spans="1:1" ht="13.2">
      <c r="A756" s="13"/>
    </row>
    <row r="757" spans="1:1" ht="13.2">
      <c r="A757" s="13"/>
    </row>
    <row r="758" spans="1:1" ht="13.2">
      <c r="A758" s="13"/>
    </row>
    <row r="759" spans="1:1" ht="13.2">
      <c r="A759" s="13"/>
    </row>
    <row r="760" spans="1:1" ht="13.2">
      <c r="A760" s="13"/>
    </row>
    <row r="761" spans="1:1" ht="13.2">
      <c r="A761" s="13"/>
    </row>
    <row r="762" spans="1:1" ht="13.2">
      <c r="A762" s="13"/>
    </row>
    <row r="763" spans="1:1" ht="13.2">
      <c r="A763" s="13"/>
    </row>
    <row r="764" spans="1:1" ht="13.2">
      <c r="A764" s="13"/>
    </row>
    <row r="765" spans="1:1" ht="13.2">
      <c r="A765" s="13"/>
    </row>
    <row r="766" spans="1:1" ht="13.2">
      <c r="A766" s="13"/>
    </row>
    <row r="767" spans="1:1" ht="13.2">
      <c r="A767" s="13"/>
    </row>
    <row r="768" spans="1:1" ht="13.2">
      <c r="A768" s="13"/>
    </row>
    <row r="769" spans="1:1" ht="13.2">
      <c r="A769" s="13"/>
    </row>
    <row r="770" spans="1:1" ht="13.2">
      <c r="A770" s="13"/>
    </row>
    <row r="771" spans="1:1" ht="13.2">
      <c r="A771" s="13"/>
    </row>
    <row r="772" spans="1:1" ht="13.2">
      <c r="A772" s="13"/>
    </row>
    <row r="773" spans="1:1" ht="13.2">
      <c r="A773" s="13"/>
    </row>
    <row r="774" spans="1:1" ht="13.2">
      <c r="A774" s="13"/>
    </row>
    <row r="775" spans="1:1" ht="13.2">
      <c r="A775" s="13"/>
    </row>
    <row r="776" spans="1:1" ht="13.2">
      <c r="A776" s="13"/>
    </row>
    <row r="777" spans="1:1" ht="13.2">
      <c r="A777" s="13"/>
    </row>
    <row r="778" spans="1:1" ht="13.2">
      <c r="A778" s="13"/>
    </row>
    <row r="779" spans="1:1" ht="13.2">
      <c r="A779" s="13"/>
    </row>
    <row r="780" spans="1:1" ht="13.2">
      <c r="A780" s="13"/>
    </row>
    <row r="781" spans="1:1" ht="13.2">
      <c r="A781" s="13"/>
    </row>
    <row r="782" spans="1:1" ht="13.2">
      <c r="A782" s="13"/>
    </row>
    <row r="783" spans="1:1" ht="13.2">
      <c r="A783" s="13"/>
    </row>
    <row r="784" spans="1:1" ht="13.2">
      <c r="A784" s="13"/>
    </row>
    <row r="785" spans="1:1" ht="13.2">
      <c r="A785" s="13"/>
    </row>
    <row r="786" spans="1:1" ht="13.2">
      <c r="A786" s="13"/>
    </row>
    <row r="787" spans="1:1" ht="13.2">
      <c r="A787" s="13"/>
    </row>
    <row r="788" spans="1:1" ht="13.2">
      <c r="A788" s="13"/>
    </row>
    <row r="789" spans="1:1" ht="13.2">
      <c r="A789" s="13"/>
    </row>
    <row r="790" spans="1:1" ht="13.2">
      <c r="A790" s="13"/>
    </row>
    <row r="791" spans="1:1" ht="13.2">
      <c r="A791" s="13"/>
    </row>
    <row r="792" spans="1:1" ht="13.2">
      <c r="A792" s="13"/>
    </row>
    <row r="793" spans="1:1" ht="13.2">
      <c r="A793" s="13"/>
    </row>
    <row r="794" spans="1:1" ht="13.2">
      <c r="A794" s="13"/>
    </row>
    <row r="795" spans="1:1" ht="13.2">
      <c r="A795" s="13"/>
    </row>
    <row r="796" spans="1:1" ht="13.2">
      <c r="A796" s="13"/>
    </row>
    <row r="797" spans="1:1" ht="13.2">
      <c r="A797" s="13"/>
    </row>
    <row r="798" spans="1:1" ht="13.2">
      <c r="A798" s="13"/>
    </row>
    <row r="799" spans="1:1" ht="13.2">
      <c r="A799" s="13"/>
    </row>
    <row r="800" spans="1:1" ht="13.2">
      <c r="A800" s="13"/>
    </row>
    <row r="801" spans="1:1" ht="13.2">
      <c r="A801" s="13"/>
    </row>
    <row r="802" spans="1:1" ht="13.2">
      <c r="A802" s="13"/>
    </row>
    <row r="803" spans="1:1" ht="13.2">
      <c r="A803" s="13"/>
    </row>
    <row r="804" spans="1:1" ht="13.2">
      <c r="A804" s="13"/>
    </row>
    <row r="805" spans="1:1" ht="13.2">
      <c r="A805" s="13"/>
    </row>
    <row r="806" spans="1:1" ht="13.2">
      <c r="A806" s="13"/>
    </row>
    <row r="807" spans="1:1" ht="13.2">
      <c r="A807" s="13"/>
    </row>
    <row r="808" spans="1:1" ht="13.2">
      <c r="A808" s="13"/>
    </row>
    <row r="809" spans="1:1" ht="13.2">
      <c r="A809" s="13"/>
    </row>
    <row r="810" spans="1:1" ht="13.2">
      <c r="A810" s="13"/>
    </row>
    <row r="811" spans="1:1" ht="13.2">
      <c r="A811" s="13"/>
    </row>
    <row r="812" spans="1:1" ht="13.2">
      <c r="A812" s="13"/>
    </row>
    <row r="813" spans="1:1" ht="13.2">
      <c r="A813" s="13"/>
    </row>
    <row r="814" spans="1:1" ht="13.2">
      <c r="A814" s="13"/>
    </row>
    <row r="815" spans="1:1" ht="13.2">
      <c r="A815" s="13"/>
    </row>
    <row r="816" spans="1:1" ht="13.2">
      <c r="A816" s="13"/>
    </row>
    <row r="817" spans="1:1" ht="13.2">
      <c r="A817" s="13"/>
    </row>
    <row r="818" spans="1:1" ht="13.2">
      <c r="A818" s="13"/>
    </row>
    <row r="819" spans="1:1" ht="13.2">
      <c r="A819" s="13"/>
    </row>
    <row r="820" spans="1:1" ht="13.2">
      <c r="A820" s="13"/>
    </row>
    <row r="821" spans="1:1" ht="13.2">
      <c r="A821" s="13"/>
    </row>
    <row r="822" spans="1:1" ht="13.2">
      <c r="A822" s="13"/>
    </row>
    <row r="823" spans="1:1" ht="13.2">
      <c r="A823" s="13"/>
    </row>
    <row r="824" spans="1:1" ht="13.2">
      <c r="A824" s="13"/>
    </row>
    <row r="825" spans="1:1" ht="13.2">
      <c r="A825" s="13"/>
    </row>
    <row r="826" spans="1:1" ht="13.2">
      <c r="A826" s="13"/>
    </row>
    <row r="827" spans="1:1" ht="13.2">
      <c r="A827" s="13"/>
    </row>
    <row r="828" spans="1:1" ht="13.2">
      <c r="A828" s="13"/>
    </row>
    <row r="829" spans="1:1" ht="13.2">
      <c r="A829" s="13"/>
    </row>
    <row r="830" spans="1:1" ht="13.2">
      <c r="A830" s="13"/>
    </row>
    <row r="831" spans="1:1" ht="13.2">
      <c r="A831" s="13"/>
    </row>
    <row r="832" spans="1:1" ht="13.2">
      <c r="A832" s="13"/>
    </row>
    <row r="833" spans="1:1" ht="13.2">
      <c r="A833" s="13"/>
    </row>
    <row r="834" spans="1:1" ht="13.2">
      <c r="A834" s="13"/>
    </row>
    <row r="835" spans="1:1" ht="13.2">
      <c r="A835" s="13"/>
    </row>
    <row r="836" spans="1:1" ht="13.2">
      <c r="A836" s="13"/>
    </row>
    <row r="837" spans="1:1" ht="13.2">
      <c r="A837" s="13"/>
    </row>
    <row r="838" spans="1:1" ht="13.2">
      <c r="A838" s="13"/>
    </row>
    <row r="839" spans="1:1" ht="13.2">
      <c r="A839" s="13"/>
    </row>
    <row r="840" spans="1:1" ht="13.2">
      <c r="A840" s="13"/>
    </row>
    <row r="841" spans="1:1" ht="13.2">
      <c r="A841" s="13"/>
    </row>
    <row r="842" spans="1:1" ht="13.2">
      <c r="A842" s="13"/>
    </row>
    <row r="843" spans="1:1" ht="13.2">
      <c r="A843" s="13"/>
    </row>
    <row r="844" spans="1:1" ht="13.2">
      <c r="A844" s="13"/>
    </row>
    <row r="845" spans="1:1" ht="13.2">
      <c r="A845" s="13"/>
    </row>
    <row r="846" spans="1:1" ht="13.2">
      <c r="A846" s="13"/>
    </row>
    <row r="847" spans="1:1" ht="13.2">
      <c r="A847" s="13"/>
    </row>
    <row r="848" spans="1:1" ht="13.2">
      <c r="A848" s="13"/>
    </row>
    <row r="849" spans="1:1" ht="13.2">
      <c r="A849" s="13"/>
    </row>
    <row r="850" spans="1:1" ht="13.2">
      <c r="A850" s="13"/>
    </row>
    <row r="851" spans="1:1" ht="13.2">
      <c r="A851" s="13"/>
    </row>
    <row r="852" spans="1:1" ht="13.2">
      <c r="A852" s="13"/>
    </row>
    <row r="853" spans="1:1" ht="13.2">
      <c r="A853" s="13"/>
    </row>
    <row r="854" spans="1:1" ht="13.2">
      <c r="A854" s="13"/>
    </row>
    <row r="855" spans="1:1" ht="13.2">
      <c r="A855" s="13"/>
    </row>
    <row r="856" spans="1:1" ht="13.2">
      <c r="A856" s="13"/>
    </row>
    <row r="857" spans="1:1" ht="13.2">
      <c r="A857" s="13"/>
    </row>
    <row r="858" spans="1:1" ht="13.2">
      <c r="A858" s="13"/>
    </row>
    <row r="859" spans="1:1" ht="13.2">
      <c r="A859" s="13"/>
    </row>
    <row r="860" spans="1:1" ht="13.2">
      <c r="A860" s="13"/>
    </row>
    <row r="861" spans="1:1" ht="13.2">
      <c r="A861" s="13"/>
    </row>
    <row r="862" spans="1:1" ht="13.2">
      <c r="A862" s="13"/>
    </row>
    <row r="863" spans="1:1" ht="13.2">
      <c r="A863" s="13"/>
    </row>
    <row r="864" spans="1:1" ht="13.2">
      <c r="A864" s="13"/>
    </row>
    <row r="865" spans="1:1" ht="13.2">
      <c r="A865" s="13"/>
    </row>
    <row r="866" spans="1:1" ht="13.2">
      <c r="A866" s="13"/>
    </row>
    <row r="867" spans="1:1" ht="13.2">
      <c r="A867" s="13"/>
    </row>
    <row r="868" spans="1:1" ht="13.2">
      <c r="A868" s="13"/>
    </row>
    <row r="869" spans="1:1" ht="13.2">
      <c r="A869" s="13"/>
    </row>
    <row r="870" spans="1:1" ht="13.2">
      <c r="A870" s="13"/>
    </row>
    <row r="871" spans="1:1" ht="13.2">
      <c r="A871" s="13"/>
    </row>
    <row r="872" spans="1:1" ht="13.2">
      <c r="A872" s="13"/>
    </row>
    <row r="873" spans="1:1" ht="13.2">
      <c r="A873" s="13"/>
    </row>
    <row r="874" spans="1:1" ht="13.2">
      <c r="A874" s="13"/>
    </row>
    <row r="875" spans="1:1" ht="13.2">
      <c r="A875" s="13"/>
    </row>
    <row r="876" spans="1:1" ht="13.2">
      <c r="A876" s="13"/>
    </row>
    <row r="877" spans="1:1" ht="13.2">
      <c r="A877" s="13"/>
    </row>
    <row r="878" spans="1:1" ht="13.2">
      <c r="A878" s="13"/>
    </row>
    <row r="879" spans="1:1" ht="13.2">
      <c r="A879" s="13"/>
    </row>
    <row r="880" spans="1:1" ht="13.2">
      <c r="A880" s="13"/>
    </row>
    <row r="881" spans="1:1" ht="13.2">
      <c r="A881" s="13"/>
    </row>
    <row r="882" spans="1:1" ht="13.2">
      <c r="A882" s="13"/>
    </row>
    <row r="883" spans="1:1" ht="13.2">
      <c r="A883" s="13"/>
    </row>
    <row r="884" spans="1:1" ht="13.2">
      <c r="A884" s="13"/>
    </row>
    <row r="885" spans="1:1" ht="13.2">
      <c r="A885" s="13"/>
    </row>
    <row r="886" spans="1:1" ht="13.2">
      <c r="A886" s="13"/>
    </row>
    <row r="887" spans="1:1" ht="13.2">
      <c r="A887" s="13"/>
    </row>
    <row r="888" spans="1:1" ht="13.2">
      <c r="A888" s="13"/>
    </row>
    <row r="889" spans="1:1" ht="13.2">
      <c r="A889" s="13"/>
    </row>
    <row r="890" spans="1:1" ht="13.2">
      <c r="A890" s="13"/>
    </row>
    <row r="891" spans="1:1" ht="13.2">
      <c r="A891" s="13"/>
    </row>
    <row r="892" spans="1:1" ht="13.2">
      <c r="A892" s="13"/>
    </row>
    <row r="893" spans="1:1" ht="13.2">
      <c r="A893" s="13"/>
    </row>
    <row r="894" spans="1:1" ht="13.2">
      <c r="A894" s="13"/>
    </row>
    <row r="895" spans="1:1" ht="13.2">
      <c r="A895" s="13"/>
    </row>
    <row r="896" spans="1:1" ht="13.2">
      <c r="A896" s="13"/>
    </row>
    <row r="897" spans="1:1" ht="13.2">
      <c r="A897" s="13"/>
    </row>
    <row r="898" spans="1:1" ht="13.2">
      <c r="A898" s="13"/>
    </row>
    <row r="899" spans="1:1" ht="13.2">
      <c r="A899" s="13"/>
    </row>
    <row r="900" spans="1:1" ht="13.2">
      <c r="A900" s="13"/>
    </row>
    <row r="901" spans="1:1" ht="13.2">
      <c r="A901" s="13"/>
    </row>
    <row r="902" spans="1:1" ht="13.2">
      <c r="A902" s="13"/>
    </row>
    <row r="903" spans="1:1" ht="13.2">
      <c r="A903" s="13"/>
    </row>
    <row r="904" spans="1:1" ht="13.2">
      <c r="A904" s="13"/>
    </row>
    <row r="905" spans="1:1" ht="13.2">
      <c r="A905" s="13"/>
    </row>
    <row r="906" spans="1:1" ht="13.2">
      <c r="A906" s="13"/>
    </row>
    <row r="907" spans="1:1" ht="13.2">
      <c r="A907" s="13"/>
    </row>
    <row r="908" spans="1:1" ht="13.2">
      <c r="A908" s="13"/>
    </row>
    <row r="909" spans="1:1" ht="13.2">
      <c r="A909" s="13"/>
    </row>
    <row r="910" spans="1:1" ht="13.2">
      <c r="A910" s="13"/>
    </row>
    <row r="911" spans="1:1" ht="13.2">
      <c r="A911" s="13"/>
    </row>
    <row r="912" spans="1:1" ht="13.2">
      <c r="A912" s="13"/>
    </row>
    <row r="913" spans="1:1" ht="13.2">
      <c r="A913" s="13"/>
    </row>
    <row r="914" spans="1:1" ht="13.2">
      <c r="A914" s="13"/>
    </row>
    <row r="915" spans="1:1" ht="13.2">
      <c r="A915" s="13"/>
    </row>
    <row r="916" spans="1:1" ht="13.2">
      <c r="A916" s="13"/>
    </row>
    <row r="917" spans="1:1" ht="13.2">
      <c r="A917" s="13"/>
    </row>
    <row r="918" spans="1:1" ht="13.2">
      <c r="A918" s="13"/>
    </row>
    <row r="919" spans="1:1" ht="13.2">
      <c r="A919" s="13"/>
    </row>
    <row r="920" spans="1:1" ht="13.2">
      <c r="A920" s="13"/>
    </row>
    <row r="921" spans="1:1" ht="13.2">
      <c r="A921" s="13"/>
    </row>
    <row r="922" spans="1:1" ht="13.2">
      <c r="A922" s="13"/>
    </row>
    <row r="923" spans="1:1" ht="13.2">
      <c r="A923" s="13"/>
    </row>
    <row r="924" spans="1:1" ht="13.2">
      <c r="A924" s="13"/>
    </row>
    <row r="925" spans="1:1" ht="13.2">
      <c r="A925" s="13"/>
    </row>
    <row r="926" spans="1:1" ht="13.2">
      <c r="A926" s="13"/>
    </row>
    <row r="927" spans="1:1" ht="13.2">
      <c r="A927" s="13"/>
    </row>
    <row r="928" spans="1:1" ht="13.2">
      <c r="A928" s="13"/>
    </row>
    <row r="929" spans="1:1" ht="13.2">
      <c r="A929" s="13"/>
    </row>
    <row r="930" spans="1:1" ht="13.2">
      <c r="A930" s="13"/>
    </row>
    <row r="931" spans="1:1" ht="13.2">
      <c r="A931" s="13"/>
    </row>
    <row r="932" spans="1:1" ht="13.2">
      <c r="A932" s="13"/>
    </row>
    <row r="933" spans="1:1" ht="13.2">
      <c r="A933" s="13"/>
    </row>
    <row r="934" spans="1:1" ht="13.2">
      <c r="A934" s="13"/>
    </row>
    <row r="935" spans="1:1" ht="13.2">
      <c r="A935" s="13"/>
    </row>
    <row r="936" spans="1:1" ht="13.2">
      <c r="A936" s="13"/>
    </row>
    <row r="937" spans="1:1" ht="13.2">
      <c r="A937" s="13"/>
    </row>
    <row r="938" spans="1:1" ht="13.2">
      <c r="A938" s="13"/>
    </row>
    <row r="939" spans="1:1" ht="13.2">
      <c r="A939" s="13"/>
    </row>
    <row r="940" spans="1:1" ht="13.2">
      <c r="A940" s="13"/>
    </row>
    <row r="941" spans="1:1" ht="13.2">
      <c r="A941" s="13"/>
    </row>
    <row r="942" spans="1:1" ht="13.2">
      <c r="A942" s="13"/>
    </row>
    <row r="943" spans="1:1" ht="13.2">
      <c r="A943" s="13"/>
    </row>
    <row r="944" spans="1:1" ht="13.2">
      <c r="A944" s="13"/>
    </row>
    <row r="945" spans="1:1" ht="13.2">
      <c r="A945" s="13"/>
    </row>
    <row r="946" spans="1:1" ht="13.2">
      <c r="A946" s="13"/>
    </row>
    <row r="947" spans="1:1" ht="13.2">
      <c r="A947" s="13"/>
    </row>
    <row r="948" spans="1:1" ht="13.2">
      <c r="A948" s="13"/>
    </row>
    <row r="949" spans="1:1" ht="13.2">
      <c r="A949" s="13"/>
    </row>
    <row r="950" spans="1:1" ht="13.2">
      <c r="A950" s="13"/>
    </row>
    <row r="951" spans="1:1" ht="13.2">
      <c r="A951" s="13"/>
    </row>
    <row r="952" spans="1:1" ht="13.2">
      <c r="A952" s="13"/>
    </row>
    <row r="953" spans="1:1" ht="13.2">
      <c r="A953" s="13"/>
    </row>
    <row r="954" spans="1:1" ht="13.2">
      <c r="A954" s="13"/>
    </row>
    <row r="955" spans="1:1" ht="13.2">
      <c r="A955" s="13"/>
    </row>
    <row r="956" spans="1:1" ht="13.2">
      <c r="A956" s="13"/>
    </row>
    <row r="957" spans="1:1" ht="13.2">
      <c r="A957" s="13"/>
    </row>
    <row r="958" spans="1:1" ht="13.2">
      <c r="A958" s="13"/>
    </row>
    <row r="959" spans="1:1" ht="13.2">
      <c r="A959" s="13"/>
    </row>
    <row r="960" spans="1:1" ht="13.2">
      <c r="A960" s="13"/>
    </row>
    <row r="961" spans="1:1" ht="13.2">
      <c r="A961" s="13"/>
    </row>
    <row r="962" spans="1:1" ht="13.2">
      <c r="A962" s="13"/>
    </row>
    <row r="963" spans="1:1" ht="13.2">
      <c r="A963" s="13"/>
    </row>
    <row r="964" spans="1:1" ht="13.2">
      <c r="A964" s="13"/>
    </row>
    <row r="965" spans="1:1" ht="13.2">
      <c r="A965" s="13"/>
    </row>
    <row r="966" spans="1:1" ht="13.2">
      <c r="A966" s="13"/>
    </row>
    <row r="967" spans="1:1" ht="13.2">
      <c r="A967" s="13"/>
    </row>
    <row r="968" spans="1:1" ht="13.2">
      <c r="A968" s="13"/>
    </row>
    <row r="969" spans="1:1" ht="13.2">
      <c r="A969" s="13"/>
    </row>
    <row r="970" spans="1:1" ht="13.2">
      <c r="A970" s="13"/>
    </row>
    <row r="971" spans="1:1" ht="13.2">
      <c r="A971" s="13"/>
    </row>
    <row r="972" spans="1:1" ht="13.2">
      <c r="A972" s="13"/>
    </row>
    <row r="973" spans="1:1" ht="13.2">
      <c r="A973" s="13"/>
    </row>
    <row r="974" spans="1:1" ht="13.2">
      <c r="A974" s="13"/>
    </row>
    <row r="975" spans="1:1" ht="13.2">
      <c r="A975" s="13"/>
    </row>
    <row r="976" spans="1:1" ht="13.2">
      <c r="A976" s="13"/>
    </row>
    <row r="977" spans="1:1" ht="13.2">
      <c r="A977" s="13"/>
    </row>
    <row r="978" spans="1:1" ht="13.2">
      <c r="A978" s="13"/>
    </row>
    <row r="979" spans="1:1" ht="13.2">
      <c r="A979" s="13"/>
    </row>
    <row r="980" spans="1:1" ht="13.2">
      <c r="A980" s="13"/>
    </row>
    <row r="981" spans="1:1" ht="13.2">
      <c r="A981" s="13"/>
    </row>
    <row r="982" spans="1:1" ht="13.2">
      <c r="A982" s="13"/>
    </row>
    <row r="983" spans="1:1" ht="13.2">
      <c r="A983" s="13"/>
    </row>
    <row r="984" spans="1:1" ht="13.2">
      <c r="A984" s="13"/>
    </row>
    <row r="985" spans="1:1" ht="13.2">
      <c r="A985" s="13"/>
    </row>
    <row r="986" spans="1:1" ht="13.2">
      <c r="A986" s="13"/>
    </row>
    <row r="987" spans="1:1" ht="13.2">
      <c r="A987" s="13"/>
    </row>
    <row r="988" spans="1:1" ht="13.2">
      <c r="A988" s="13"/>
    </row>
    <row r="989" spans="1:1" ht="13.2">
      <c r="A989" s="13"/>
    </row>
    <row r="990" spans="1:1" ht="13.2">
      <c r="A990" s="13"/>
    </row>
    <row r="991" spans="1:1" ht="13.2">
      <c r="A991" s="13"/>
    </row>
    <row r="992" spans="1:1" ht="13.2">
      <c r="A992" s="13"/>
    </row>
    <row r="993" spans="1:1" ht="13.2">
      <c r="A993" s="13"/>
    </row>
    <row r="994" spans="1:1" ht="13.2">
      <c r="A994" s="13"/>
    </row>
    <row r="995" spans="1:1" ht="13.2">
      <c r="A995" s="13"/>
    </row>
    <row r="996" spans="1:1" ht="13.2">
      <c r="A996" s="13"/>
    </row>
    <row r="997" spans="1:1" ht="13.2">
      <c r="A997" s="13"/>
    </row>
    <row r="998" spans="1:1" ht="13.2">
      <c r="A998" s="13"/>
    </row>
    <row r="999" spans="1:1" ht="13.2">
      <c r="A999" s="13"/>
    </row>
    <row r="1000" spans="1:1" ht="13.2">
      <c r="A1000" s="13"/>
    </row>
    <row r="1001" spans="1:1" ht="13.2">
      <c r="A1001" s="13"/>
    </row>
    <row r="1002" spans="1:1" ht="13.2">
      <c r="A1002" s="13"/>
    </row>
    <row r="1003" spans="1:1" ht="13.2">
      <c r="A1003" s="13"/>
    </row>
    <row r="1004" spans="1:1" ht="13.2">
      <c r="A1004" s="13"/>
    </row>
    <row r="1005" spans="1:1" ht="13.2">
      <c r="A1005" s="13"/>
    </row>
    <row r="1006" spans="1:1" ht="13.2">
      <c r="A1006" s="13"/>
    </row>
    <row r="1007" spans="1:1" ht="13.2">
      <c r="A1007" s="13"/>
    </row>
    <row r="1008" spans="1:1" ht="13.2">
      <c r="A1008" s="13"/>
    </row>
    <row r="1009" spans="1:1" ht="13.2">
      <c r="A1009" s="13"/>
    </row>
    <row r="1010" spans="1:1" ht="13.2">
      <c r="A1010" s="13"/>
    </row>
    <row r="1011" spans="1:1" ht="13.2">
      <c r="A1011" s="13"/>
    </row>
    <row r="1012" spans="1:1" ht="13.2">
      <c r="A1012" s="13"/>
    </row>
    <row r="1013" spans="1:1" ht="13.2">
      <c r="A1013" s="13"/>
    </row>
    <row r="1014" spans="1:1" ht="13.2">
      <c r="A1014" s="13"/>
    </row>
    <row r="1015" spans="1:1" ht="13.2">
      <c r="A1015" s="13"/>
    </row>
    <row r="1016" spans="1:1" ht="13.2">
      <c r="A1016" s="13"/>
    </row>
    <row r="1017" spans="1:1" ht="13.2">
      <c r="A1017" s="13"/>
    </row>
    <row r="1018" spans="1:1" ht="13.2">
      <c r="A1018" s="13"/>
    </row>
    <row r="1019" spans="1:1" ht="13.2">
      <c r="A1019" s="13"/>
    </row>
    <row r="1020" spans="1:1" ht="13.2">
      <c r="A1020" s="13"/>
    </row>
    <row r="1021" spans="1:1" ht="13.2">
      <c r="A1021" s="13"/>
    </row>
    <row r="1022" spans="1:1" ht="13.2">
      <c r="A1022" s="13"/>
    </row>
    <row r="1023" spans="1:1" ht="13.2">
      <c r="A1023" s="13"/>
    </row>
    <row r="1024" spans="1:1" ht="13.2">
      <c r="A1024" s="13"/>
    </row>
    <row r="1025" spans="1:1" ht="13.2">
      <c r="A1025" s="13"/>
    </row>
    <row r="1026" spans="1:1" ht="13.2">
      <c r="A1026" s="13"/>
    </row>
    <row r="1027" spans="1:1" ht="13.2">
      <c r="A1027" s="13"/>
    </row>
    <row r="1028" spans="1:1" ht="13.2">
      <c r="A1028" s="13"/>
    </row>
    <row r="1029" spans="1:1" ht="13.2">
      <c r="A1029" s="13"/>
    </row>
    <row r="1030" spans="1:1" ht="13.2">
      <c r="A1030" s="13"/>
    </row>
    <row r="1031" spans="1:1" ht="13.2">
      <c r="A1031" s="13"/>
    </row>
    <row r="1032" spans="1:1" ht="13.2">
      <c r="A1032" s="13"/>
    </row>
    <row r="1033" spans="1:1" ht="13.2">
      <c r="A1033" s="13"/>
    </row>
    <row r="1034" spans="1:1" ht="13.2">
      <c r="A1034" s="13"/>
    </row>
    <row r="1035" spans="1:1" ht="13.2">
      <c r="A1035" s="13"/>
    </row>
    <row r="1036" spans="1:1" ht="13.2">
      <c r="A1036" s="13"/>
    </row>
    <row r="1037" spans="1:1" ht="13.2">
      <c r="A1037" s="13"/>
    </row>
    <row r="1038" spans="1:1" ht="13.2">
      <c r="A1038" s="13"/>
    </row>
    <row r="1039" spans="1:1" ht="13.2">
      <c r="A1039" s="13"/>
    </row>
    <row r="1040" spans="1:1" ht="13.2">
      <c r="A1040" s="13"/>
    </row>
    <row r="1041" spans="1:1" ht="13.2">
      <c r="A1041" s="13"/>
    </row>
    <row r="1042" spans="1:1" ht="13.2">
      <c r="A1042" s="13"/>
    </row>
    <row r="1043" spans="1:1" ht="13.2">
      <c r="A1043" s="13"/>
    </row>
    <row r="1044" spans="1:1" ht="13.2">
      <c r="A1044" s="13"/>
    </row>
    <row r="1045" spans="1:1" ht="13.2">
      <c r="A1045" s="13"/>
    </row>
    <row r="1046" spans="1:1" ht="13.2">
      <c r="A1046" s="13"/>
    </row>
    <row r="1047" spans="1:1" ht="13.2">
      <c r="A1047" s="13"/>
    </row>
    <row r="1048" spans="1:1" ht="13.2">
      <c r="A1048" s="13"/>
    </row>
    <row r="1049" spans="1:1" ht="13.2">
      <c r="A1049" s="13"/>
    </row>
    <row r="1050" spans="1:1" ht="13.2">
      <c r="A1050" s="13"/>
    </row>
  </sheetData>
  <phoneticPr fontId="68" type="noConversion"/>
  <conditionalFormatting sqref="B1 B21 B40:B1050">
    <cfRule type="expression" dxfId="38" priority="73">
      <formula>COUNTIF($B$2:$B$986,$B1048567)&gt;1</formula>
    </cfRule>
  </conditionalFormatting>
  <conditionalFormatting sqref="B10 B37">
    <cfRule type="expression" dxfId="37" priority="10">
      <formula>COUNTIF($B$2:$B$986,#REF!)&gt;1</formula>
    </cfRule>
  </conditionalFormatting>
  <conditionalFormatting sqref="B11:B19">
    <cfRule type="expression" dxfId="36" priority="76">
      <formula>COUNTIF($B$2:$B$986,$B12)&gt;1</formula>
    </cfRule>
  </conditionalFormatting>
  <conditionalFormatting sqref="B20">
    <cfRule type="expression" dxfId="35" priority="75">
      <formula>COUNTIF($B$2:$B$986,$B31)&gt;1</formula>
    </cfRule>
  </conditionalFormatting>
  <conditionalFormatting sqref="B31:B36">
    <cfRule type="expression" dxfId="34" priority="61">
      <formula>COUNTIF($B$2:$B$986,$B2)&gt;1</formula>
    </cfRule>
  </conditionalFormatting>
  <conditionalFormatting sqref="B38:B39">
    <cfRule type="expression" dxfId="33" priority="62">
      <formula>COUNTIF($B$2:$B$986,$B8)&gt;1</formula>
    </cfRule>
  </conditionalFormatting>
  <conditionalFormatting sqref="F1:G1 J20 G57:G1050 F82:F1050">
    <cfRule type="expression" dxfId="32" priority="3">
      <formula>COUNTIF(G:G,G1)&gt;1</formula>
    </cfRule>
  </conditionalFormatting>
  <conditionalFormatting sqref="H31:H35 H37:H41 H50:H56">
    <cfRule type="expression" dxfId="31" priority="64">
      <formula>COUNTIF(H:H,#REF!)&gt;1</formula>
    </cfRule>
  </conditionalFormatting>
  <conditionalFormatting sqref="J1:J21 J31:J40 J58:J1050">
    <cfRule type="expression" dxfId="30" priority="4">
      <formula>COUNTIF(J:J,J1)&gt;1</formula>
    </cfRule>
  </conditionalFormatting>
  <conditionalFormatting sqref="B1:B1048576">
    <cfRule type="duplicateValues" dxfId="29" priority="1"/>
  </conditionalFormatting>
  <dataValidations count="1">
    <dataValidation type="list" allowBlank="1" showErrorMessage="1" sqref="P37:P39 P41 P43 F73 F77:F79 F81 F11:F21 P31:P35 F2:F9 P45:P48 F49 P50:P56 F57:F66" xr:uid="{00000000-0002-0000-0100-000000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20"/>
  <sheetViews>
    <sheetView zoomScale="85" zoomScaleNormal="85" workbookViewId="0">
      <pane ySplit="1" topLeftCell="A2" activePane="bottomLeft" state="frozen"/>
      <selection pane="bottomLeft" activeCell="B26" sqref="B26"/>
    </sheetView>
  </sheetViews>
  <sheetFormatPr defaultColWidth="12.6640625" defaultRowHeight="15.75" customHeight="1"/>
  <cols>
    <col min="1" max="1" width="37" style="59" customWidth="1"/>
    <col min="2" max="2" width="75.44140625" style="59" customWidth="1"/>
    <col min="3" max="3" width="29.21875" style="59" customWidth="1"/>
    <col min="4" max="4" width="25.77734375" style="59" customWidth="1"/>
    <col min="5" max="5" width="8.77734375" style="59" customWidth="1"/>
    <col min="6" max="6" width="9.44140625" style="59" customWidth="1"/>
    <col min="7" max="7" width="12.33203125" style="59" customWidth="1"/>
    <col min="8" max="8" width="25.44140625" style="59" customWidth="1"/>
    <col min="9" max="9" width="7" style="59" customWidth="1"/>
    <col min="10" max="16384" width="12.6640625" style="59"/>
  </cols>
  <sheetData>
    <row r="1" spans="1:27" s="122" customFormat="1" ht="13.2">
      <c r="A1" s="19" t="s">
        <v>39</v>
      </c>
      <c r="B1" s="19" t="s">
        <v>1</v>
      </c>
      <c r="C1" s="19" t="s">
        <v>4</v>
      </c>
      <c r="D1" s="19" t="s">
        <v>5</v>
      </c>
      <c r="E1" s="121" t="s">
        <v>2</v>
      </c>
      <c r="F1" s="19" t="s">
        <v>40</v>
      </c>
      <c r="G1" s="121" t="s">
        <v>3</v>
      </c>
      <c r="H1" s="19" t="s">
        <v>68</v>
      </c>
      <c r="I1" s="19" t="s">
        <v>7</v>
      </c>
    </row>
    <row r="2" spans="1:27" ht="13.8">
      <c r="A2" s="22" t="s">
        <v>299</v>
      </c>
      <c r="B2" s="59" t="s">
        <v>300</v>
      </c>
      <c r="C2" s="59" t="s">
        <v>314</v>
      </c>
      <c r="D2" s="61" t="s">
        <v>321</v>
      </c>
      <c r="E2" s="62" t="str">
        <f>IF(D2&lt;&gt;"","SL"&amp;COUNTIF($D$2:D2,"&lt;&gt;"),"")</f>
        <v>SL1</v>
      </c>
      <c r="F2" s="123"/>
      <c r="G2" s="124" t="str">
        <f>HYPERLINK("https://doi.org/" &amp; P2, "https://doi.org/" &amp; P2)</f>
        <v>https://doi.org/10.1007/s10489-024-05489-9</v>
      </c>
      <c r="H2" s="64" t="s">
        <v>322</v>
      </c>
      <c r="I2" s="59">
        <v>2024</v>
      </c>
      <c r="J2" s="123"/>
      <c r="K2" s="123"/>
      <c r="L2" s="123"/>
      <c r="M2" s="123"/>
      <c r="N2" s="123"/>
      <c r="O2" s="123"/>
      <c r="P2" s="59" t="s">
        <v>307</v>
      </c>
      <c r="Q2" s="123"/>
      <c r="R2" s="123"/>
      <c r="S2" s="123"/>
      <c r="T2" s="123"/>
      <c r="U2" s="123"/>
      <c r="V2" s="123"/>
      <c r="W2" s="123"/>
      <c r="X2" s="123"/>
      <c r="Y2" s="123"/>
      <c r="Z2" s="123"/>
      <c r="AA2" s="123"/>
    </row>
    <row r="3" spans="1:27" ht="18.75" customHeight="1">
      <c r="A3" s="22"/>
      <c r="B3" s="59" t="s">
        <v>301</v>
      </c>
      <c r="C3" s="59" t="s">
        <v>315</v>
      </c>
      <c r="D3" s="65" t="s">
        <v>323</v>
      </c>
      <c r="E3" s="62" t="str">
        <f>IF(D3&lt;&gt;"","SL"&amp;COUNTIF($D$2:D3,"&lt;&gt;"),"")</f>
        <v>SL2</v>
      </c>
      <c r="F3" s="123"/>
      <c r="G3" s="124" t="str">
        <f t="shared" ref="G3:G46" si="0">HYPERLINK("https://doi.org/" &amp; P3, "https://doi.org/" &amp; P3)</f>
        <v>https://doi.org/10.1007/978-981-97-6106-7_37</v>
      </c>
      <c r="H3" s="66" t="s">
        <v>889</v>
      </c>
      <c r="I3" s="59">
        <v>2025</v>
      </c>
      <c r="J3" s="125"/>
      <c r="K3" s="125"/>
      <c r="L3" s="125"/>
      <c r="M3" s="125"/>
      <c r="N3" s="125"/>
      <c r="O3" s="125"/>
      <c r="P3" s="59" t="s">
        <v>308</v>
      </c>
      <c r="Q3" s="125"/>
      <c r="R3" s="125"/>
      <c r="S3" s="125"/>
      <c r="T3" s="125"/>
      <c r="U3" s="125"/>
      <c r="V3" s="125"/>
      <c r="W3" s="125"/>
      <c r="X3" s="125"/>
      <c r="Y3" s="125"/>
      <c r="Z3" s="125"/>
      <c r="AA3" s="125"/>
    </row>
    <row r="4" spans="1:27" ht="13.8">
      <c r="A4" s="22"/>
      <c r="B4" s="59" t="s">
        <v>302</v>
      </c>
      <c r="C4" s="59" t="s">
        <v>316</v>
      </c>
      <c r="D4" s="123" t="s">
        <v>325</v>
      </c>
      <c r="E4" s="62" t="str">
        <f>IF(D4&lt;&gt;"","SL"&amp;COUNTIF($D$2:D4,"&lt;&gt;"),"")</f>
        <v>SL3</v>
      </c>
      <c r="F4" s="123"/>
      <c r="G4" s="124" t="str">
        <f t="shared" si="0"/>
        <v>https://doi.org/10.1007/s10462-025-11284-w</v>
      </c>
      <c r="H4" s="64" t="s">
        <v>890</v>
      </c>
      <c r="I4" s="59">
        <v>2025</v>
      </c>
      <c r="J4" s="123"/>
      <c r="K4" s="123"/>
      <c r="L4" s="123"/>
      <c r="M4" s="123"/>
      <c r="N4" s="123"/>
      <c r="O4" s="123"/>
      <c r="P4" s="59" t="s">
        <v>309</v>
      </c>
      <c r="Q4" s="123"/>
      <c r="R4" s="123"/>
      <c r="S4" s="123"/>
      <c r="T4" s="123"/>
      <c r="U4" s="123"/>
      <c r="V4" s="123"/>
      <c r="W4" s="123"/>
      <c r="X4" s="123"/>
      <c r="Y4" s="123"/>
      <c r="Z4" s="123"/>
      <c r="AA4" s="123"/>
    </row>
    <row r="5" spans="1:27" ht="13.8">
      <c r="A5" s="22"/>
      <c r="B5" s="59" t="s">
        <v>303</v>
      </c>
      <c r="C5" s="59" t="s">
        <v>317</v>
      </c>
      <c r="D5" s="123" t="s">
        <v>326</v>
      </c>
      <c r="E5" s="62" t="str">
        <f>IF(D5&lt;&gt;"","SL"&amp;COUNTIF($D$2:D5,"&lt;&gt;"),"")</f>
        <v>SL4</v>
      </c>
      <c r="F5" s="123"/>
      <c r="G5" s="124" t="str">
        <f t="shared" si="0"/>
        <v>https://doi.org/10.1007/s11042-023-15911-y</v>
      </c>
      <c r="H5" s="123" t="s">
        <v>891</v>
      </c>
      <c r="I5" s="59">
        <v>2023</v>
      </c>
      <c r="J5" s="123"/>
      <c r="K5" s="123"/>
      <c r="L5" s="123"/>
      <c r="M5" s="123"/>
      <c r="N5" s="123"/>
      <c r="O5" s="123"/>
      <c r="P5" s="59" t="s">
        <v>310</v>
      </c>
      <c r="Q5" s="123"/>
      <c r="R5" s="123"/>
      <c r="S5" s="123"/>
      <c r="T5" s="123"/>
      <c r="U5" s="123"/>
      <c r="V5" s="123"/>
      <c r="W5" s="123"/>
      <c r="X5" s="123"/>
      <c r="Y5" s="123"/>
      <c r="Z5" s="123"/>
      <c r="AA5" s="123"/>
    </row>
    <row r="6" spans="1:27" ht="13.8">
      <c r="A6" s="22"/>
      <c r="B6" s="59" t="s">
        <v>304</v>
      </c>
      <c r="C6" s="59" t="s">
        <v>318</v>
      </c>
      <c r="D6" s="61" t="s">
        <v>327</v>
      </c>
      <c r="E6" s="62" t="str">
        <f>IF(D6&lt;&gt;"","SL"&amp;COUNTIF($D$2:D6,"&lt;&gt;"),"")</f>
        <v>SL5</v>
      </c>
      <c r="F6" s="123"/>
      <c r="G6" s="124" t="str">
        <f t="shared" si="0"/>
        <v>https://doi.org/10.1007/978-981-99-4943-4_4</v>
      </c>
      <c r="H6" s="64" t="s">
        <v>892</v>
      </c>
      <c r="I6" s="59">
        <v>2024</v>
      </c>
      <c r="J6" s="123"/>
      <c r="K6" s="123"/>
      <c r="L6" s="123"/>
      <c r="M6" s="123"/>
      <c r="N6" s="123"/>
      <c r="O6" s="123"/>
      <c r="P6" s="59" t="s">
        <v>311</v>
      </c>
      <c r="Q6" s="123"/>
      <c r="R6" s="123"/>
      <c r="S6" s="123"/>
      <c r="T6" s="123"/>
      <c r="U6" s="123"/>
      <c r="V6" s="123"/>
      <c r="W6" s="123"/>
      <c r="X6" s="123"/>
      <c r="Y6" s="123"/>
      <c r="Z6" s="123"/>
      <c r="AA6" s="123"/>
    </row>
    <row r="7" spans="1:27" ht="13.8">
      <c r="A7" s="22"/>
      <c r="B7" s="59" t="s">
        <v>305</v>
      </c>
      <c r="C7" s="59" t="s">
        <v>319</v>
      </c>
      <c r="D7" s="123" t="s">
        <v>328</v>
      </c>
      <c r="E7" s="62" t="str">
        <f>IF(D7&lt;&gt;"","SL"&amp;COUNTIF($D$2:D7,"&lt;&gt;"),"")</f>
        <v>SL6</v>
      </c>
      <c r="F7" s="123"/>
      <c r="G7" s="124" t="str">
        <f t="shared" si="0"/>
        <v>https://doi.org/10.1007/978-3-031-73668-1_14</v>
      </c>
      <c r="H7" s="123" t="s">
        <v>893</v>
      </c>
      <c r="I7" s="59">
        <v>2025</v>
      </c>
      <c r="J7" s="123"/>
      <c r="K7" s="123"/>
      <c r="L7" s="123"/>
      <c r="M7" s="123"/>
      <c r="N7" s="123"/>
      <c r="O7" s="123"/>
      <c r="P7" s="59" t="s">
        <v>312</v>
      </c>
      <c r="Q7" s="123"/>
      <c r="R7" s="123"/>
      <c r="S7" s="123"/>
      <c r="T7" s="123"/>
      <c r="U7" s="123"/>
      <c r="V7" s="123"/>
      <c r="W7" s="123"/>
      <c r="X7" s="123"/>
      <c r="Y7" s="123"/>
      <c r="Z7" s="123"/>
      <c r="AA7" s="123"/>
    </row>
    <row r="8" spans="1:27" ht="13.8">
      <c r="A8" s="22"/>
      <c r="B8" s="59" t="s">
        <v>306</v>
      </c>
      <c r="C8" s="59" t="s">
        <v>320</v>
      </c>
      <c r="D8" s="123" t="s">
        <v>329</v>
      </c>
      <c r="E8" s="62" t="str">
        <f>IF(D8&lt;&gt;"","SL"&amp;COUNTIF($D$2:D8,"&lt;&gt;"),"")</f>
        <v>SL7</v>
      </c>
      <c r="F8" s="123"/>
      <c r="G8" s="124" t="str">
        <f t="shared" si="0"/>
        <v>https://doi.org/10.1007/978-3-031-65318-6_24</v>
      </c>
      <c r="H8" s="64" t="s">
        <v>894</v>
      </c>
      <c r="I8" s="59">
        <v>2024</v>
      </c>
      <c r="J8" s="123"/>
      <c r="K8" s="123"/>
      <c r="L8" s="123"/>
      <c r="M8" s="123"/>
      <c r="N8" s="123"/>
      <c r="O8" s="123"/>
      <c r="P8" s="59" t="s">
        <v>313</v>
      </c>
      <c r="Q8" s="123"/>
      <c r="R8" s="123"/>
      <c r="S8" s="123"/>
      <c r="T8" s="123"/>
      <c r="U8" s="123"/>
      <c r="V8" s="123"/>
      <c r="W8" s="123"/>
      <c r="X8" s="123"/>
      <c r="Y8" s="123"/>
      <c r="Z8" s="123"/>
      <c r="AA8" s="123"/>
    </row>
    <row r="9" spans="1:27" ht="20.25" customHeight="1">
      <c r="A9" s="13"/>
      <c r="C9" s="123"/>
      <c r="D9" s="123"/>
      <c r="E9" s="62" t="str">
        <f>IF(D9&lt;&gt;"","SL"&amp;COUNTIF($D$2:D9,"&lt;&gt;"),"")</f>
        <v/>
      </c>
      <c r="F9" s="123"/>
      <c r="G9" s="124" t="str">
        <f t="shared" si="0"/>
        <v>https://doi.org/</v>
      </c>
      <c r="H9" s="64"/>
      <c r="I9" s="123"/>
      <c r="J9" s="123"/>
      <c r="K9" s="123"/>
      <c r="L9" s="123"/>
      <c r="M9" s="123"/>
      <c r="N9" s="123"/>
      <c r="O9" s="123"/>
      <c r="P9" s="123"/>
      <c r="Q9" s="123"/>
      <c r="R9" s="123"/>
      <c r="S9" s="123"/>
      <c r="T9" s="123"/>
      <c r="U9" s="123"/>
      <c r="V9" s="123"/>
      <c r="W9" s="123"/>
      <c r="X9" s="123"/>
      <c r="Y9" s="123"/>
      <c r="Z9" s="123"/>
      <c r="AA9" s="123"/>
    </row>
    <row r="10" spans="1:27" ht="13.8">
      <c r="A10" s="13" t="s">
        <v>43</v>
      </c>
      <c r="B10" s="59" t="s">
        <v>300</v>
      </c>
      <c r="C10" s="59" t="s">
        <v>314</v>
      </c>
      <c r="D10" s="59" t="s">
        <v>351</v>
      </c>
      <c r="E10" s="62" t="str">
        <f>IF(D10&lt;&gt;"","SL"&amp;COUNTIF($D$2:D10,"&lt;&gt;"),"")</f>
        <v>SL8</v>
      </c>
      <c r="F10" s="123"/>
      <c r="G10" s="124" t="str">
        <f t="shared" si="0"/>
        <v>https://doi.org/10.1007/s10489-024-05489-9</v>
      </c>
      <c r="H10" s="64" t="s">
        <v>895</v>
      </c>
      <c r="I10" s="59">
        <v>2024</v>
      </c>
      <c r="J10" s="123"/>
      <c r="K10" s="123"/>
      <c r="L10" s="123"/>
      <c r="M10" s="123"/>
      <c r="N10" s="123"/>
      <c r="O10" s="123"/>
      <c r="P10" s="59" t="s">
        <v>307</v>
      </c>
      <c r="Q10" s="123"/>
      <c r="R10" s="123"/>
      <c r="S10" s="123"/>
      <c r="T10" s="123"/>
      <c r="U10" s="123"/>
      <c r="V10" s="123"/>
      <c r="W10" s="123"/>
      <c r="X10" s="123"/>
      <c r="Y10" s="123"/>
      <c r="Z10" s="123"/>
      <c r="AA10" s="123"/>
    </row>
    <row r="11" spans="1:27" ht="13.8">
      <c r="A11" s="13"/>
      <c r="B11" s="59" t="s">
        <v>330</v>
      </c>
      <c r="C11" s="59" t="s">
        <v>344</v>
      </c>
      <c r="D11" s="59" t="s">
        <v>352</v>
      </c>
      <c r="E11" s="62" t="str">
        <f>IF(D11&lt;&gt;"","SL"&amp;COUNTIF($D$2:D11,"&lt;&gt;"),"")</f>
        <v>SL9</v>
      </c>
      <c r="F11" s="123"/>
      <c r="G11" s="124" t="str">
        <f t="shared" si="0"/>
        <v>https://doi.org/10.1186/s12911-024-02545-9</v>
      </c>
      <c r="H11" s="64" t="s">
        <v>896</v>
      </c>
      <c r="I11" s="59">
        <v>2024</v>
      </c>
      <c r="J11" s="123"/>
      <c r="K11" s="123"/>
      <c r="L11" s="123"/>
      <c r="M11" s="123"/>
      <c r="N11" s="123"/>
      <c r="O11" s="123"/>
      <c r="P11" s="59" t="s">
        <v>337</v>
      </c>
      <c r="Q11" s="123"/>
      <c r="R11" s="123"/>
      <c r="S11" s="123"/>
      <c r="T11" s="123"/>
      <c r="U11" s="123"/>
      <c r="V11" s="123"/>
      <c r="W11" s="123"/>
      <c r="X11" s="123"/>
      <c r="Y11" s="123"/>
      <c r="Z11" s="123"/>
      <c r="AA11" s="123"/>
    </row>
    <row r="12" spans="1:27" ht="13.8">
      <c r="A12" s="13"/>
      <c r="B12" s="59" t="s">
        <v>332</v>
      </c>
      <c r="C12" s="59" t="s">
        <v>346</v>
      </c>
      <c r="D12" s="59" t="s">
        <v>353</v>
      </c>
      <c r="E12" s="62" t="str">
        <f>IF(D12&lt;&gt;"","SL"&amp;COUNTIF($D$2:D12,"&lt;&gt;"),"")</f>
        <v>SL10</v>
      </c>
      <c r="F12" s="123"/>
      <c r="G12" s="124" t="str">
        <f t="shared" si="0"/>
        <v>https://doi.org/10.1007/978-3-658-44037-4_93</v>
      </c>
      <c r="H12" s="64" t="s">
        <v>897</v>
      </c>
      <c r="I12" s="59">
        <v>2024</v>
      </c>
      <c r="J12" s="123"/>
      <c r="K12" s="123"/>
      <c r="L12" s="123"/>
      <c r="M12" s="123"/>
      <c r="N12" s="123"/>
      <c r="O12" s="123"/>
      <c r="P12" s="59" t="s">
        <v>339</v>
      </c>
      <c r="Q12" s="123"/>
      <c r="R12" s="123"/>
      <c r="S12" s="123"/>
      <c r="T12" s="123"/>
      <c r="U12" s="123"/>
      <c r="V12" s="123"/>
      <c r="W12" s="123"/>
      <c r="X12" s="123"/>
      <c r="Y12" s="123"/>
      <c r="Z12" s="123"/>
      <c r="AA12" s="123"/>
    </row>
    <row r="13" spans="1:27" ht="13.8">
      <c r="A13" s="13"/>
      <c r="B13" s="59" t="s">
        <v>333</v>
      </c>
      <c r="C13" s="59" t="s">
        <v>347</v>
      </c>
      <c r="D13" s="59" t="s">
        <v>354</v>
      </c>
      <c r="E13" s="62" t="str">
        <f>IF(D13&lt;&gt;"","SL"&amp;COUNTIF($D$2:D13,"&lt;&gt;"),"")</f>
        <v>SL11</v>
      </c>
      <c r="F13" s="123"/>
      <c r="G13" s="124" t="str">
        <f t="shared" si="0"/>
        <v>https://doi.org/10.1007/s10044-025-01470-5</v>
      </c>
      <c r="H13" s="64" t="s">
        <v>898</v>
      </c>
      <c r="I13" s="59">
        <v>2025</v>
      </c>
      <c r="J13" s="123"/>
      <c r="K13" s="123"/>
      <c r="L13" s="123"/>
      <c r="M13" s="123"/>
      <c r="N13" s="123"/>
      <c r="O13" s="123"/>
      <c r="P13" s="59" t="s">
        <v>340</v>
      </c>
      <c r="Q13" s="123"/>
      <c r="R13" s="123"/>
      <c r="S13" s="123"/>
      <c r="T13" s="123"/>
      <c r="U13" s="123"/>
      <c r="V13" s="123"/>
      <c r="W13" s="123"/>
      <c r="X13" s="123"/>
      <c r="Y13" s="123"/>
      <c r="Z13" s="123"/>
      <c r="AA13" s="123"/>
    </row>
    <row r="14" spans="1:27" ht="13.8">
      <c r="A14" s="13"/>
      <c r="B14" s="59" t="s">
        <v>334</v>
      </c>
      <c r="C14" s="59" t="s">
        <v>348</v>
      </c>
      <c r="D14" s="59" t="s">
        <v>355</v>
      </c>
      <c r="E14" s="62" t="str">
        <f>IF(D14&lt;&gt;"","SL"&amp;COUNTIF($D$2:D14,"&lt;&gt;"),"")</f>
        <v>SL12</v>
      </c>
      <c r="F14" s="123"/>
      <c r="G14" s="124" t="str">
        <f t="shared" si="0"/>
        <v>https://doi.org/10.1007/s10586-023-04112-9</v>
      </c>
      <c r="H14" s="64" t="s">
        <v>899</v>
      </c>
      <c r="I14" s="59">
        <v>2023</v>
      </c>
      <c r="J14" s="123"/>
      <c r="K14" s="123"/>
      <c r="L14" s="123"/>
      <c r="M14" s="123"/>
      <c r="N14" s="123"/>
      <c r="O14" s="123"/>
      <c r="P14" s="59" t="s">
        <v>341</v>
      </c>
      <c r="Q14" s="123"/>
      <c r="R14" s="123"/>
      <c r="S14" s="123"/>
      <c r="T14" s="123"/>
      <c r="U14" s="123"/>
      <c r="V14" s="123"/>
      <c r="W14" s="123"/>
      <c r="X14" s="123"/>
      <c r="Y14" s="123"/>
      <c r="Z14" s="123"/>
      <c r="AA14" s="123"/>
    </row>
    <row r="15" spans="1:27" ht="13.8">
      <c r="A15" s="13"/>
      <c r="B15" s="59" t="s">
        <v>335</v>
      </c>
      <c r="C15" s="59" t="s">
        <v>349</v>
      </c>
      <c r="D15" s="59" t="s">
        <v>356</v>
      </c>
      <c r="E15" s="62" t="str">
        <f>IF(D15&lt;&gt;"","SL"&amp;COUNTIF($D$2:D15,"&lt;&gt;"),"")</f>
        <v>SL13</v>
      </c>
      <c r="F15" s="123"/>
      <c r="G15" s="124" t="str">
        <f t="shared" si="0"/>
        <v>https://doi.org/10.1007/s10799-022-00378-4</v>
      </c>
      <c r="H15" s="64" t="s">
        <v>900</v>
      </c>
      <c r="I15" s="59">
        <v>2022</v>
      </c>
      <c r="J15" s="123"/>
      <c r="K15" s="123"/>
      <c r="L15" s="123"/>
      <c r="M15" s="123"/>
      <c r="N15" s="123"/>
      <c r="O15" s="123"/>
      <c r="P15" s="59" t="s">
        <v>342</v>
      </c>
      <c r="Q15" s="123"/>
      <c r="R15" s="123"/>
      <c r="S15" s="123"/>
      <c r="T15" s="123"/>
      <c r="U15" s="123"/>
      <c r="V15" s="123"/>
      <c r="W15" s="123"/>
      <c r="X15" s="123"/>
      <c r="Y15" s="123"/>
      <c r="Z15" s="123"/>
      <c r="AA15" s="123"/>
    </row>
    <row r="16" spans="1:27" ht="13.8">
      <c r="A16" s="13"/>
      <c r="B16" s="59" t="s">
        <v>336</v>
      </c>
      <c r="C16" s="59" t="s">
        <v>350</v>
      </c>
      <c r="D16" s="59" t="s">
        <v>357</v>
      </c>
      <c r="E16" s="62" t="str">
        <f>IF(D16&lt;&gt;"","SL"&amp;COUNTIF($D$2:D16,"&lt;&gt;"),"")</f>
        <v>SL14</v>
      </c>
      <c r="F16" s="123"/>
      <c r="G16" s="124" t="str">
        <f t="shared" si="0"/>
        <v>https://doi.org/10.1007/s11390-021-1270-7</v>
      </c>
      <c r="H16" s="64" t="s">
        <v>901</v>
      </c>
      <c r="I16" s="59">
        <v>2023</v>
      </c>
      <c r="J16" s="123"/>
      <c r="K16" s="123"/>
      <c r="L16" s="123"/>
      <c r="M16" s="123"/>
      <c r="N16" s="123"/>
      <c r="O16" s="123"/>
      <c r="P16" s="59" t="s">
        <v>343</v>
      </c>
      <c r="Q16" s="123"/>
      <c r="R16" s="123"/>
      <c r="S16" s="123"/>
      <c r="T16" s="123"/>
      <c r="U16" s="123"/>
      <c r="V16" s="123"/>
      <c r="W16" s="123"/>
      <c r="X16" s="123"/>
      <c r="Y16" s="123"/>
      <c r="Z16" s="123"/>
      <c r="AA16" s="123"/>
    </row>
    <row r="17" spans="1:27" ht="13.8">
      <c r="A17" s="22"/>
      <c r="B17" s="123"/>
      <c r="C17" s="123"/>
      <c r="D17" s="123"/>
      <c r="E17" s="62" t="str">
        <f>IF(D17&lt;&gt;"","SL"&amp;COUNTIF($D$2:D17,"&lt;&gt;"),"")</f>
        <v/>
      </c>
      <c r="F17" s="123"/>
      <c r="G17" s="124" t="str">
        <f t="shared" si="0"/>
        <v>https://doi.org/</v>
      </c>
      <c r="H17" s="123"/>
      <c r="I17" s="123"/>
      <c r="J17" s="123"/>
      <c r="K17" s="123"/>
      <c r="L17" s="123"/>
      <c r="M17" s="123"/>
      <c r="N17" s="123"/>
      <c r="O17" s="123"/>
      <c r="P17" s="123"/>
      <c r="Q17" s="123"/>
      <c r="R17" s="123"/>
      <c r="S17" s="123"/>
      <c r="T17" s="123"/>
      <c r="U17" s="123"/>
      <c r="V17" s="123"/>
      <c r="W17" s="123"/>
      <c r="X17" s="123"/>
      <c r="Y17" s="123"/>
      <c r="Z17" s="123"/>
      <c r="AA17" s="123"/>
    </row>
    <row r="18" spans="1:27" ht="13.8">
      <c r="A18" s="22" t="s">
        <v>135</v>
      </c>
      <c r="B18" s="59" t="s">
        <v>358</v>
      </c>
      <c r="C18" s="59" t="s">
        <v>366</v>
      </c>
      <c r="D18" s="59" t="s">
        <v>370</v>
      </c>
      <c r="E18" s="62" t="str">
        <f>IF(D18&lt;&gt;"","SL"&amp;COUNTIF($D$2:D18,"&lt;&gt;"),"")</f>
        <v>SL15</v>
      </c>
      <c r="F18" s="123"/>
      <c r="G18" s="124" t="str">
        <f t="shared" si="0"/>
        <v>https://doi.org/10.1007/s00464-023-10288-3</v>
      </c>
      <c r="H18" s="123" t="s">
        <v>374</v>
      </c>
      <c r="I18" s="59">
        <v>2023</v>
      </c>
      <c r="J18" s="123"/>
      <c r="K18" s="123"/>
      <c r="L18" s="123"/>
      <c r="M18" s="123"/>
      <c r="N18" s="123"/>
      <c r="O18" s="123"/>
      <c r="P18" s="59" t="s">
        <v>362</v>
      </c>
      <c r="Q18" s="123"/>
      <c r="R18" s="123"/>
      <c r="S18" s="123"/>
      <c r="T18" s="123"/>
      <c r="U18" s="123"/>
      <c r="V18" s="123"/>
      <c r="W18" s="123"/>
      <c r="X18" s="123"/>
      <c r="Y18" s="123"/>
      <c r="Z18" s="123"/>
      <c r="AA18" s="123"/>
    </row>
    <row r="19" spans="1:27" ht="13.8">
      <c r="A19" s="22"/>
      <c r="B19" s="59" t="s">
        <v>359</v>
      </c>
      <c r="C19" s="59" t="s">
        <v>367</v>
      </c>
      <c r="D19" s="59" t="s">
        <v>371</v>
      </c>
      <c r="E19" s="62" t="str">
        <f>IF(D19&lt;&gt;"","SL"&amp;COUNTIF($D$2:D19,"&lt;&gt;"),"")</f>
        <v>SL16</v>
      </c>
      <c r="F19" s="123"/>
      <c r="G19" s="124" t="str">
        <f t="shared" si="0"/>
        <v>https://doi.org/10.1007/978-981-96-6429-0_40</v>
      </c>
      <c r="H19" s="123" t="s">
        <v>375</v>
      </c>
      <c r="I19" s="59">
        <v>2025</v>
      </c>
      <c r="J19" s="123"/>
      <c r="K19" s="123"/>
      <c r="L19" s="123"/>
      <c r="M19" s="123"/>
      <c r="N19" s="123"/>
      <c r="O19" s="123"/>
      <c r="P19" s="59" t="s">
        <v>363</v>
      </c>
      <c r="Q19" s="123"/>
      <c r="R19" s="123"/>
      <c r="S19" s="123"/>
      <c r="T19" s="123"/>
      <c r="U19" s="123"/>
      <c r="V19" s="123"/>
      <c r="W19" s="123"/>
      <c r="X19" s="123"/>
      <c r="Y19" s="123"/>
      <c r="Z19" s="123"/>
      <c r="AA19" s="123"/>
    </row>
    <row r="20" spans="1:27" ht="13.8">
      <c r="A20" s="22"/>
      <c r="B20" s="59" t="s">
        <v>360</v>
      </c>
      <c r="C20" s="59" t="s">
        <v>368</v>
      </c>
      <c r="D20" s="59" t="s">
        <v>372</v>
      </c>
      <c r="E20" s="62" t="str">
        <f>IF(D20&lt;&gt;"","SL"&amp;COUNTIF($D$2:D20,"&lt;&gt;"),"")</f>
        <v>SL17</v>
      </c>
      <c r="F20" s="123"/>
      <c r="G20" s="124" t="str">
        <f t="shared" si="0"/>
        <v>https://doi.org/10.1007/s10209-024-01117-y</v>
      </c>
      <c r="H20" s="123" t="s">
        <v>376</v>
      </c>
      <c r="I20" s="59">
        <v>2024</v>
      </c>
      <c r="J20" s="123"/>
      <c r="K20" s="123"/>
      <c r="L20" s="123"/>
      <c r="M20" s="123"/>
      <c r="N20" s="123"/>
      <c r="O20" s="123"/>
      <c r="P20" s="59" t="s">
        <v>364</v>
      </c>
      <c r="Q20" s="123"/>
      <c r="R20" s="123"/>
      <c r="S20" s="123"/>
      <c r="T20" s="123"/>
      <c r="U20" s="123"/>
      <c r="V20" s="123"/>
      <c r="W20" s="123"/>
      <c r="X20" s="123"/>
      <c r="Y20" s="123"/>
      <c r="Z20" s="123"/>
      <c r="AA20" s="123"/>
    </row>
    <row r="21" spans="1:27" ht="13.8">
      <c r="A21" s="22"/>
      <c r="B21" s="59" t="s">
        <v>361</v>
      </c>
      <c r="C21" s="59" t="s">
        <v>369</v>
      </c>
      <c r="D21" s="59" t="s">
        <v>373</v>
      </c>
      <c r="E21" s="62" t="str">
        <f>IF(D21&lt;&gt;"","SL"&amp;COUNTIF($D$2:D21,"&lt;&gt;"),"")</f>
        <v>SL18</v>
      </c>
      <c r="F21" s="123"/>
      <c r="G21" s="124" t="str">
        <f t="shared" si="0"/>
        <v>https://doi.org/10.1007/978-3-031-23298-5_1</v>
      </c>
      <c r="H21" s="123" t="s">
        <v>377</v>
      </c>
      <c r="I21" s="59">
        <v>2022</v>
      </c>
      <c r="J21" s="123"/>
      <c r="K21" s="123"/>
      <c r="L21" s="123"/>
      <c r="M21" s="123"/>
      <c r="N21" s="123"/>
      <c r="O21" s="123"/>
      <c r="P21" s="59" t="s">
        <v>365</v>
      </c>
      <c r="Q21" s="123"/>
      <c r="R21" s="123"/>
      <c r="S21" s="123"/>
      <c r="T21" s="123"/>
      <c r="U21" s="123"/>
      <c r="V21" s="123"/>
      <c r="W21" s="123"/>
      <c r="X21" s="123"/>
      <c r="Y21" s="123"/>
      <c r="Z21" s="123"/>
      <c r="AA21" s="123"/>
    </row>
    <row r="22" spans="1:27" ht="13.8">
      <c r="A22" s="22"/>
      <c r="B22" s="123"/>
      <c r="C22" s="123"/>
      <c r="D22" s="61"/>
      <c r="E22" s="62" t="str">
        <f>IF(D22&lt;&gt;"","SL"&amp;COUNTIF($D$2:D22,"&lt;&gt;"),"")</f>
        <v/>
      </c>
      <c r="F22" s="123"/>
      <c r="G22" s="124" t="str">
        <f t="shared" si="0"/>
        <v>https://doi.org/</v>
      </c>
      <c r="H22" s="64"/>
      <c r="I22" s="123"/>
      <c r="J22" s="123"/>
      <c r="K22" s="123"/>
      <c r="L22" s="123"/>
      <c r="M22" s="123"/>
      <c r="N22" s="123"/>
      <c r="O22" s="123"/>
      <c r="P22" s="123"/>
      <c r="Q22" s="123"/>
      <c r="R22" s="123"/>
      <c r="S22" s="123"/>
      <c r="T22" s="123"/>
      <c r="U22" s="123"/>
      <c r="V22" s="123"/>
      <c r="W22" s="123"/>
      <c r="X22" s="123"/>
      <c r="Y22" s="123"/>
      <c r="Z22" s="123"/>
      <c r="AA22" s="123"/>
    </row>
    <row r="23" spans="1:27" ht="13.8">
      <c r="A23" s="22" t="s">
        <v>231</v>
      </c>
      <c r="B23" s="123" t="s">
        <v>300</v>
      </c>
      <c r="C23" s="123" t="s">
        <v>314</v>
      </c>
      <c r="D23" s="123" t="s">
        <v>321</v>
      </c>
      <c r="E23" s="62" t="str">
        <f>IF(D23&lt;&gt;"","SL"&amp;COUNTIF($D$2:D23,"&lt;&gt;"),"")</f>
        <v>SL19</v>
      </c>
      <c r="F23" s="123"/>
      <c r="G23" s="124" t="str">
        <f t="shared" si="0"/>
        <v>https://doi.org/10.1007/s10489-024-05489-9</v>
      </c>
      <c r="H23" s="123" t="s">
        <v>378</v>
      </c>
      <c r="I23" s="123">
        <v>2024</v>
      </c>
      <c r="J23" s="123"/>
      <c r="K23" s="123"/>
      <c r="L23" s="123"/>
      <c r="M23" s="123"/>
      <c r="N23" s="123"/>
      <c r="O23" s="123"/>
      <c r="P23" s="123" t="s">
        <v>307</v>
      </c>
      <c r="Q23" s="123"/>
      <c r="R23" s="123"/>
      <c r="S23" s="123"/>
      <c r="T23" s="123"/>
      <c r="U23" s="123"/>
      <c r="V23" s="123"/>
      <c r="W23" s="123"/>
      <c r="X23" s="123"/>
      <c r="Y23" s="123"/>
      <c r="Z23" s="123"/>
      <c r="AA23" s="123"/>
    </row>
    <row r="24" spans="1:27" ht="13.8">
      <c r="A24" s="13"/>
      <c r="B24" s="123" t="s">
        <v>331</v>
      </c>
      <c r="C24" s="123" t="s">
        <v>345</v>
      </c>
      <c r="D24" s="123" t="s">
        <v>379</v>
      </c>
      <c r="E24" s="62" t="str">
        <f>IF(D24&lt;&gt;"","SL"&amp;COUNTIF($D$2:D24,"&lt;&gt;"),"")</f>
        <v>SL20</v>
      </c>
      <c r="F24" s="123"/>
      <c r="G24" s="124" t="str">
        <f t="shared" si="0"/>
        <v>https://doi.org/10.1038/s43856-024-00609-5</v>
      </c>
      <c r="H24" s="123" t="s">
        <v>380</v>
      </c>
      <c r="I24" s="123">
        <v>2024</v>
      </c>
      <c r="J24" s="123"/>
      <c r="K24" s="123"/>
      <c r="L24" s="123"/>
      <c r="M24" s="123"/>
      <c r="N24" s="123"/>
      <c r="O24" s="123"/>
      <c r="P24" s="123" t="s">
        <v>338</v>
      </c>
      <c r="Q24" s="123"/>
      <c r="R24" s="123"/>
      <c r="S24" s="123"/>
      <c r="T24" s="123"/>
      <c r="U24" s="123"/>
      <c r="V24" s="123"/>
      <c r="W24" s="123"/>
      <c r="X24" s="123"/>
      <c r="Y24" s="123"/>
      <c r="Z24" s="123"/>
      <c r="AA24" s="123"/>
    </row>
    <row r="25" spans="1:27" ht="13.8">
      <c r="A25" s="13"/>
      <c r="B25" s="123" t="s">
        <v>332</v>
      </c>
      <c r="C25" s="123" t="s">
        <v>346</v>
      </c>
      <c r="D25" s="123" t="s">
        <v>353</v>
      </c>
      <c r="E25" s="62" t="str">
        <f>IF(D25&lt;&gt;"","SL"&amp;COUNTIF($D$2:D25,"&lt;&gt;"),"")</f>
        <v>SL21</v>
      </c>
      <c r="F25" s="123"/>
      <c r="G25" s="124" t="str">
        <f t="shared" si="0"/>
        <v>https://doi.org/10.1007/978-3-658-44037-4_93</v>
      </c>
      <c r="H25" s="123" t="s">
        <v>381</v>
      </c>
      <c r="I25" s="123">
        <v>2024</v>
      </c>
      <c r="J25" s="123"/>
      <c r="K25" s="123"/>
      <c r="L25" s="123"/>
      <c r="M25" s="123"/>
      <c r="N25" s="123"/>
      <c r="O25" s="123"/>
      <c r="P25" s="123" t="s">
        <v>339</v>
      </c>
      <c r="Q25" s="123"/>
      <c r="R25" s="123"/>
      <c r="S25" s="123"/>
      <c r="T25" s="123"/>
      <c r="U25" s="123"/>
      <c r="V25" s="123"/>
      <c r="W25" s="123"/>
      <c r="X25" s="123"/>
      <c r="Y25" s="123"/>
      <c r="Z25" s="123"/>
      <c r="AA25" s="123"/>
    </row>
    <row r="26" spans="1:27" ht="13.8">
      <c r="A26" s="13"/>
      <c r="B26" s="123" t="s">
        <v>333</v>
      </c>
      <c r="C26" s="123" t="s">
        <v>347</v>
      </c>
      <c r="D26" s="123" t="s">
        <v>354</v>
      </c>
      <c r="E26" s="62" t="str">
        <f>IF(D26&lt;&gt;"","SL"&amp;COUNTIF($D$2:D26,"&lt;&gt;"),"")</f>
        <v>SL22</v>
      </c>
      <c r="F26" s="123"/>
      <c r="G26" s="124" t="str">
        <f t="shared" si="0"/>
        <v>https://doi.org/10.1007/s10044-025-01470-5</v>
      </c>
      <c r="H26" s="123" t="s">
        <v>382</v>
      </c>
      <c r="I26" s="123">
        <v>2025</v>
      </c>
      <c r="J26" s="123"/>
      <c r="K26" s="123"/>
      <c r="L26" s="123"/>
      <c r="M26" s="123"/>
      <c r="N26" s="123"/>
      <c r="O26" s="123"/>
      <c r="P26" s="123" t="s">
        <v>340</v>
      </c>
      <c r="Q26" s="123"/>
      <c r="R26" s="123"/>
      <c r="S26" s="123"/>
      <c r="T26" s="123"/>
      <c r="U26" s="123"/>
      <c r="V26" s="123"/>
      <c r="W26" s="123"/>
      <c r="X26" s="123"/>
      <c r="Y26" s="123"/>
      <c r="Z26" s="123"/>
      <c r="AA26" s="123"/>
    </row>
    <row r="27" spans="1:27" ht="13.8">
      <c r="B27" s="123" t="s">
        <v>334</v>
      </c>
      <c r="C27" s="123" t="s">
        <v>348</v>
      </c>
      <c r="D27" s="123" t="s">
        <v>355</v>
      </c>
      <c r="E27" s="62" t="str">
        <f>IF(D27&lt;&gt;"","SL"&amp;COUNTIF($D$2:D27,"&lt;&gt;"),"")</f>
        <v>SL23</v>
      </c>
      <c r="F27" s="123"/>
      <c r="G27" s="124" t="str">
        <f t="shared" si="0"/>
        <v>https://doi.org/10.1007/s10586-023-04112-9</v>
      </c>
      <c r="H27" s="123" t="s">
        <v>383</v>
      </c>
      <c r="I27" s="123">
        <v>2023</v>
      </c>
      <c r="J27" s="123"/>
      <c r="K27" s="123"/>
      <c r="L27" s="123"/>
      <c r="M27" s="123"/>
      <c r="N27" s="123"/>
      <c r="O27" s="123"/>
      <c r="P27" s="123" t="s">
        <v>341</v>
      </c>
      <c r="Q27" s="123"/>
      <c r="R27" s="123"/>
      <c r="S27" s="123"/>
      <c r="T27" s="123"/>
      <c r="U27" s="123"/>
      <c r="V27" s="123"/>
      <c r="W27" s="123"/>
      <c r="X27" s="123"/>
      <c r="Y27" s="123"/>
      <c r="Z27" s="123"/>
      <c r="AA27" s="123"/>
    </row>
    <row r="28" spans="1:27" ht="13.8">
      <c r="A28" s="13"/>
      <c r="B28" s="123"/>
      <c r="C28" s="123"/>
      <c r="D28" s="123"/>
      <c r="E28" s="62" t="str">
        <f>IF(D28&lt;&gt;"","SL"&amp;COUNTIF($D$2:D28,"&lt;&gt;"),"")</f>
        <v/>
      </c>
      <c r="F28" s="123"/>
      <c r="G28" s="124" t="str">
        <f t="shared" si="0"/>
        <v>https://doi.org/</v>
      </c>
      <c r="H28" s="123"/>
      <c r="I28" s="123"/>
      <c r="J28" s="123"/>
      <c r="K28" s="123"/>
      <c r="L28" s="123"/>
      <c r="M28" s="123"/>
      <c r="N28" s="123"/>
      <c r="O28" s="123"/>
      <c r="P28" s="123"/>
      <c r="Q28" s="123"/>
      <c r="R28" s="123"/>
      <c r="S28" s="123"/>
      <c r="T28" s="123"/>
      <c r="U28" s="123"/>
      <c r="V28" s="123"/>
      <c r="W28" s="123"/>
      <c r="X28" s="123"/>
      <c r="Y28" s="123"/>
      <c r="Z28" s="123"/>
      <c r="AA28" s="123"/>
    </row>
    <row r="29" spans="1:27" ht="13.8">
      <c r="A29" s="13" t="s">
        <v>262</v>
      </c>
      <c r="B29" s="59" t="s">
        <v>384</v>
      </c>
      <c r="C29" s="59" t="s">
        <v>400</v>
      </c>
      <c r="D29" s="123" t="s">
        <v>435</v>
      </c>
      <c r="E29" s="62" t="str">
        <f>IF(D29&lt;&gt;"","SL"&amp;COUNTIF($D$2:D29,"&lt;&gt;"),"")</f>
        <v>SL24</v>
      </c>
      <c r="F29" s="123"/>
      <c r="G29" s="124" t="str">
        <f t="shared" si="0"/>
        <v>https://doi.org/10.1007/s00530-025-01746-0</v>
      </c>
      <c r="H29" s="123" t="s">
        <v>436</v>
      </c>
      <c r="I29" s="59">
        <v>2025</v>
      </c>
      <c r="J29" s="123"/>
      <c r="K29" s="123"/>
      <c r="L29" s="123"/>
      <c r="M29" s="123"/>
      <c r="N29" s="123"/>
      <c r="O29" s="123"/>
      <c r="P29" s="59" t="s">
        <v>392</v>
      </c>
      <c r="Q29" s="123"/>
      <c r="R29" s="123"/>
      <c r="S29" s="123"/>
      <c r="T29" s="123"/>
      <c r="U29" s="123"/>
      <c r="V29" s="123"/>
      <c r="W29" s="123"/>
      <c r="X29" s="123"/>
      <c r="Y29" s="123"/>
      <c r="Z29" s="123"/>
      <c r="AA29" s="123"/>
    </row>
    <row r="30" spans="1:27" ht="13.8">
      <c r="A30" s="13"/>
      <c r="B30" s="59" t="s">
        <v>385</v>
      </c>
      <c r="C30" s="59" t="s">
        <v>401</v>
      </c>
      <c r="D30" s="123" t="s">
        <v>437</v>
      </c>
      <c r="E30" s="62" t="str">
        <f>IF(D30&lt;&gt;"","SL"&amp;COUNTIF($D$2:D30,"&lt;&gt;"),"")</f>
        <v>SL25</v>
      </c>
      <c r="F30" s="123"/>
      <c r="G30" s="124" t="str">
        <f t="shared" si="0"/>
        <v>https://doi.org/10.1007/s43995-025-00195-0</v>
      </c>
      <c r="H30" s="123" t="s">
        <v>438</v>
      </c>
      <c r="I30" s="59">
        <v>2025</v>
      </c>
      <c r="J30" s="123"/>
      <c r="K30" s="123"/>
      <c r="L30" s="123"/>
      <c r="M30" s="123"/>
      <c r="N30" s="123"/>
      <c r="O30" s="123"/>
      <c r="P30" s="59" t="s">
        <v>393</v>
      </c>
      <c r="Q30" s="123"/>
      <c r="R30" s="123"/>
      <c r="S30" s="123"/>
      <c r="T30" s="123"/>
      <c r="U30" s="123"/>
      <c r="V30" s="123"/>
      <c r="W30" s="123"/>
      <c r="X30" s="123"/>
      <c r="Y30" s="123"/>
      <c r="Z30" s="123"/>
      <c r="AA30" s="123"/>
    </row>
    <row r="31" spans="1:27" ht="13.8">
      <c r="A31" s="13"/>
      <c r="B31" s="59" t="s">
        <v>386</v>
      </c>
      <c r="C31" s="59" t="s">
        <v>402</v>
      </c>
      <c r="D31" s="123" t="s">
        <v>439</v>
      </c>
      <c r="E31" s="62" t="str">
        <f>IF(D31&lt;&gt;"","SL"&amp;COUNTIF($D$2:D31,"&lt;&gt;"),"")</f>
        <v>SL26</v>
      </c>
      <c r="F31" s="123"/>
      <c r="G31" s="124" t="str">
        <f t="shared" si="0"/>
        <v>https://doi.org/10.1038/s41598-024-72523-8</v>
      </c>
      <c r="H31" s="123" t="s">
        <v>440</v>
      </c>
      <c r="I31" s="59">
        <v>2024</v>
      </c>
      <c r="J31" s="123"/>
      <c r="K31" s="123"/>
      <c r="L31" s="123"/>
      <c r="M31" s="123"/>
      <c r="N31" s="123"/>
      <c r="O31" s="123"/>
      <c r="P31" s="59" t="s">
        <v>394</v>
      </c>
      <c r="Q31" s="123"/>
      <c r="R31" s="123"/>
      <c r="S31" s="123"/>
      <c r="T31" s="123"/>
      <c r="U31" s="123"/>
      <c r="V31" s="123"/>
      <c r="W31" s="123"/>
      <c r="X31" s="123"/>
      <c r="Y31" s="123"/>
      <c r="Z31" s="123"/>
      <c r="AA31" s="123"/>
    </row>
    <row r="32" spans="1:27" ht="13.8">
      <c r="A32" s="13"/>
      <c r="B32" s="59" t="s">
        <v>387</v>
      </c>
      <c r="C32" s="59" t="s">
        <v>403</v>
      </c>
      <c r="D32" s="123" t="s">
        <v>324</v>
      </c>
      <c r="E32" s="62" t="str">
        <f>IF(D32&lt;&gt;"","SL"&amp;COUNTIF($D$2:D32,"&lt;&gt;"),"")</f>
        <v>SL27</v>
      </c>
      <c r="F32" s="123"/>
      <c r="G32" s="124" t="str">
        <f t="shared" si="0"/>
        <v>https://doi.org/10.1007/s10791-025-09707-x</v>
      </c>
      <c r="H32" s="123" t="s">
        <v>441</v>
      </c>
      <c r="I32" s="59">
        <v>2025</v>
      </c>
      <c r="J32" s="123"/>
      <c r="K32" s="123"/>
      <c r="L32" s="123"/>
      <c r="M32" s="123"/>
      <c r="N32" s="123"/>
      <c r="O32" s="123"/>
      <c r="P32" s="59" t="s">
        <v>395</v>
      </c>
      <c r="Q32" s="123"/>
      <c r="R32" s="123"/>
      <c r="S32" s="123"/>
      <c r="T32" s="123"/>
      <c r="U32" s="123"/>
      <c r="V32" s="123"/>
      <c r="W32" s="123"/>
      <c r="X32" s="123"/>
      <c r="Y32" s="123"/>
      <c r="Z32" s="123"/>
      <c r="AA32" s="123"/>
    </row>
    <row r="33" spans="1:27" ht="13.8">
      <c r="A33" s="13"/>
      <c r="B33" s="59" t="s">
        <v>388</v>
      </c>
      <c r="C33" s="59" t="s">
        <v>404</v>
      </c>
      <c r="D33" s="123" t="s">
        <v>442</v>
      </c>
      <c r="E33" s="62" t="str">
        <f>IF(D33&lt;&gt;"","SL"&amp;COUNTIF($D$2:D33,"&lt;&gt;"),"")</f>
        <v>SL28</v>
      </c>
      <c r="F33" s="123"/>
      <c r="G33" s="124" t="str">
        <f t="shared" si="0"/>
        <v>https://doi.org/10.1007/s00521-023-08239-z</v>
      </c>
      <c r="H33" s="123" t="s">
        <v>443</v>
      </c>
      <c r="I33" s="59">
        <v>2023</v>
      </c>
      <c r="J33" s="123"/>
      <c r="K33" s="123"/>
      <c r="L33" s="123"/>
      <c r="M33" s="123"/>
      <c r="N33" s="123"/>
      <c r="O33" s="123"/>
      <c r="P33" s="59" t="s">
        <v>396</v>
      </c>
      <c r="Q33" s="123"/>
      <c r="R33" s="123"/>
      <c r="S33" s="123"/>
      <c r="T33" s="123"/>
      <c r="U33" s="123"/>
      <c r="V33" s="123"/>
      <c r="W33" s="123"/>
      <c r="X33" s="123"/>
      <c r="Y33" s="123"/>
      <c r="Z33" s="123"/>
      <c r="AA33" s="123"/>
    </row>
    <row r="34" spans="1:27" ht="13.8">
      <c r="A34" s="13"/>
      <c r="B34" s="59" t="s">
        <v>389</v>
      </c>
      <c r="C34" s="59" t="s">
        <v>405</v>
      </c>
      <c r="D34" s="123" t="s">
        <v>444</v>
      </c>
      <c r="E34" s="62" t="str">
        <f>IF(D34&lt;&gt;"","SL"&amp;COUNTIF($D$2:D34,"&lt;&gt;"),"")</f>
        <v>SL29</v>
      </c>
      <c r="F34" s="123"/>
      <c r="G34" s="124" t="str">
        <f t="shared" si="0"/>
        <v>https://doi.org/10.1007/s10462-025-11206-w</v>
      </c>
      <c r="H34" s="123" t="s">
        <v>445</v>
      </c>
      <c r="I34" s="59">
        <v>2025</v>
      </c>
      <c r="J34" s="123"/>
      <c r="K34" s="123"/>
      <c r="L34" s="123"/>
      <c r="M34" s="123"/>
      <c r="N34" s="123"/>
      <c r="O34" s="123"/>
      <c r="P34" s="59" t="s">
        <v>397</v>
      </c>
      <c r="Q34" s="123"/>
      <c r="R34" s="123"/>
      <c r="S34" s="123"/>
      <c r="T34" s="123"/>
      <c r="U34" s="123"/>
      <c r="V34" s="123"/>
      <c r="W34" s="123"/>
      <c r="X34" s="123"/>
      <c r="Y34" s="123"/>
      <c r="Z34" s="123"/>
      <c r="AA34" s="123"/>
    </row>
    <row r="35" spans="1:27" ht="13.8">
      <c r="A35" s="13"/>
      <c r="B35" s="59" t="s">
        <v>390</v>
      </c>
      <c r="C35" s="59" t="s">
        <v>406</v>
      </c>
      <c r="D35" s="123" t="s">
        <v>446</v>
      </c>
      <c r="E35" s="62" t="str">
        <f>IF(D35&lt;&gt;"","SL"&amp;COUNTIF($D$2:D35,"&lt;&gt;"),"")</f>
        <v>SL30</v>
      </c>
      <c r="F35" s="123"/>
      <c r="G35" s="124" t="str">
        <f t="shared" si="0"/>
        <v>https://doi.org/10.1007/s00371-025-04183-2</v>
      </c>
      <c r="H35" s="123" t="s">
        <v>447</v>
      </c>
      <c r="I35" s="59">
        <v>2025</v>
      </c>
      <c r="J35" s="123"/>
      <c r="K35" s="123"/>
      <c r="L35" s="123"/>
      <c r="M35" s="123"/>
      <c r="N35" s="123"/>
      <c r="O35" s="123"/>
      <c r="P35" s="59" t="s">
        <v>398</v>
      </c>
      <c r="Q35" s="123"/>
      <c r="R35" s="123"/>
      <c r="S35" s="123"/>
      <c r="T35" s="123"/>
      <c r="U35" s="123"/>
      <c r="V35" s="123"/>
      <c r="W35" s="123"/>
      <c r="X35" s="123"/>
      <c r="Y35" s="123"/>
      <c r="Z35" s="123"/>
      <c r="AA35" s="123"/>
    </row>
    <row r="36" spans="1:27" ht="13.8">
      <c r="B36" s="59" t="s">
        <v>391</v>
      </c>
      <c r="C36" s="59" t="s">
        <v>407</v>
      </c>
      <c r="D36" s="123" t="s">
        <v>448</v>
      </c>
      <c r="E36" s="62" t="str">
        <f>IF(D36&lt;&gt;"","SL"&amp;COUNTIF($D$2:D36,"&lt;&gt;"),"")</f>
        <v>SL31</v>
      </c>
      <c r="F36" s="123"/>
      <c r="G36" s="124" t="str">
        <f t="shared" si="0"/>
        <v>https://doi.org/10.1007/s42486-023-00145-6</v>
      </c>
      <c r="H36" s="123" t="s">
        <v>449</v>
      </c>
      <c r="I36" s="59">
        <v>2024</v>
      </c>
      <c r="J36" s="123"/>
      <c r="K36" s="123"/>
      <c r="L36" s="123"/>
      <c r="M36" s="123"/>
      <c r="N36" s="123"/>
      <c r="O36" s="123"/>
      <c r="P36" s="59" t="s">
        <v>399</v>
      </c>
      <c r="Q36" s="123"/>
      <c r="R36" s="123"/>
      <c r="S36" s="123"/>
      <c r="T36" s="123"/>
      <c r="U36" s="123"/>
      <c r="V36" s="123"/>
      <c r="W36" s="123"/>
      <c r="X36" s="123"/>
      <c r="Y36" s="123"/>
      <c r="Z36" s="123"/>
      <c r="AA36" s="123"/>
    </row>
    <row r="37" spans="1:27" ht="13.8">
      <c r="A37" s="13"/>
      <c r="B37" s="123"/>
      <c r="C37" s="123"/>
      <c r="D37" s="123"/>
      <c r="E37" s="62" t="str">
        <f>IF(D37&lt;&gt;"","SL"&amp;COUNTIF($D$2:D37,"&lt;&gt;"),"")</f>
        <v/>
      </c>
      <c r="F37" s="123"/>
      <c r="G37" s="124" t="str">
        <f t="shared" si="0"/>
        <v>https://doi.org/</v>
      </c>
      <c r="H37" s="123"/>
      <c r="I37" s="123"/>
      <c r="J37" s="123"/>
      <c r="K37" s="123"/>
      <c r="L37" s="123"/>
      <c r="M37" s="123"/>
      <c r="N37" s="123"/>
      <c r="O37" s="123"/>
      <c r="P37" s="123"/>
      <c r="Q37" s="123"/>
      <c r="R37" s="123"/>
      <c r="S37" s="123"/>
      <c r="T37" s="123"/>
      <c r="U37" s="123"/>
      <c r="V37" s="123"/>
      <c r="W37" s="123"/>
      <c r="X37" s="123"/>
      <c r="Y37" s="123"/>
      <c r="Z37" s="123"/>
      <c r="AA37" s="123"/>
    </row>
    <row r="38" spans="1:27" ht="13.8">
      <c r="A38" s="13" t="s">
        <v>298</v>
      </c>
      <c r="B38" s="59" t="s">
        <v>408</v>
      </c>
      <c r="C38" s="59" t="s">
        <v>426</v>
      </c>
      <c r="D38" s="123" t="s">
        <v>450</v>
      </c>
      <c r="E38" s="62" t="str">
        <f>IF(D38&lt;&gt;"","SL"&amp;COUNTIF($D$2:D38,"&lt;&gt;"),"")</f>
        <v>SL32</v>
      </c>
      <c r="F38" s="123"/>
      <c r="G38" s="124" t="str">
        <f t="shared" si="0"/>
        <v>https://doi.org/10.1007/s43681-025-00745-1</v>
      </c>
      <c r="H38" s="123" t="s">
        <v>451</v>
      </c>
      <c r="I38" s="59">
        <v>2025</v>
      </c>
      <c r="J38" s="123"/>
      <c r="K38" s="123"/>
      <c r="L38" s="123"/>
      <c r="M38" s="123"/>
      <c r="N38" s="123"/>
      <c r="O38" s="123"/>
      <c r="P38" s="59" t="s">
        <v>417</v>
      </c>
      <c r="Q38" s="123"/>
      <c r="R38" s="123"/>
      <c r="S38" s="123"/>
      <c r="T38" s="123"/>
      <c r="U38" s="123"/>
      <c r="V38" s="123"/>
      <c r="W38" s="123"/>
      <c r="X38" s="123"/>
      <c r="Y38" s="123"/>
      <c r="Z38" s="123"/>
      <c r="AA38" s="123"/>
    </row>
    <row r="39" spans="1:27" ht="13.8">
      <c r="A39" s="13"/>
      <c r="B39" s="59" t="s">
        <v>409</v>
      </c>
      <c r="C39" s="59" t="s">
        <v>427</v>
      </c>
      <c r="D39" s="123" t="s">
        <v>452</v>
      </c>
      <c r="E39" s="62" t="str">
        <f>IF(D39&lt;&gt;"","SL"&amp;COUNTIF($D$2:D39,"&lt;&gt;"),"")</f>
        <v>SL33</v>
      </c>
      <c r="F39" s="123"/>
      <c r="G39" s="124" t="str">
        <f t="shared" si="0"/>
        <v>https://doi.org/10.1007/s43681-024-00644-x</v>
      </c>
      <c r="H39" s="123" t="s">
        <v>453</v>
      </c>
      <c r="I39" s="59">
        <v>2025</v>
      </c>
      <c r="J39" s="123"/>
      <c r="K39" s="123"/>
      <c r="L39" s="123"/>
      <c r="M39" s="123"/>
      <c r="N39" s="123"/>
      <c r="O39" s="123"/>
      <c r="P39" s="59" t="s">
        <v>418</v>
      </c>
      <c r="Q39" s="123"/>
      <c r="R39" s="123"/>
      <c r="S39" s="123"/>
      <c r="T39" s="123"/>
      <c r="U39" s="123"/>
      <c r="V39" s="123"/>
      <c r="W39" s="123"/>
      <c r="X39" s="123"/>
      <c r="Y39" s="123"/>
      <c r="Z39" s="123"/>
      <c r="AA39" s="123"/>
    </row>
    <row r="40" spans="1:27" ht="13.8">
      <c r="A40" s="13"/>
      <c r="B40" s="59" t="s">
        <v>410</v>
      </c>
      <c r="C40" s="59" t="s">
        <v>428</v>
      </c>
      <c r="D40" s="123" t="s">
        <v>450</v>
      </c>
      <c r="E40" s="62" t="str">
        <f>IF(D40&lt;&gt;"","SL"&amp;COUNTIF($D$2:D40,"&lt;&gt;"),"")</f>
        <v>SL34</v>
      </c>
      <c r="F40" s="123"/>
      <c r="G40" s="124" t="str">
        <f t="shared" si="0"/>
        <v>https://doi.org/10.1007/s44163-024-00182-9</v>
      </c>
      <c r="H40" s="123" t="s">
        <v>454</v>
      </c>
      <c r="I40" s="59">
        <v>2024</v>
      </c>
      <c r="J40" s="123"/>
      <c r="K40" s="123"/>
      <c r="L40" s="123"/>
      <c r="M40" s="123"/>
      <c r="N40" s="123"/>
      <c r="O40" s="123"/>
      <c r="P40" s="59" t="s">
        <v>419</v>
      </c>
      <c r="Q40" s="123"/>
      <c r="R40" s="123"/>
      <c r="S40" s="123"/>
      <c r="T40" s="123"/>
      <c r="U40" s="123"/>
      <c r="V40" s="123"/>
      <c r="W40" s="123"/>
      <c r="X40" s="123"/>
      <c r="Y40" s="123"/>
      <c r="Z40" s="123"/>
      <c r="AA40" s="123"/>
    </row>
    <row r="41" spans="1:27" ht="13.8">
      <c r="A41" s="13"/>
      <c r="B41" s="59" t="s">
        <v>411</v>
      </c>
      <c r="C41" s="59" t="s">
        <v>429</v>
      </c>
      <c r="D41" s="123" t="s">
        <v>455</v>
      </c>
      <c r="E41" s="62" t="str">
        <f>IF(D41&lt;&gt;"","SL"&amp;COUNTIF($D$2:D41,"&lt;&gt;"),"")</f>
        <v>SL35</v>
      </c>
      <c r="F41" s="123"/>
      <c r="G41" s="124" t="str">
        <f t="shared" si="0"/>
        <v>https://doi.org/10.1007/s43681-025-00809-2</v>
      </c>
      <c r="H41" s="123" t="s">
        <v>456</v>
      </c>
      <c r="I41" s="59">
        <v>2025</v>
      </c>
      <c r="J41" s="123"/>
      <c r="K41" s="123"/>
      <c r="L41" s="123"/>
      <c r="M41" s="123"/>
      <c r="N41" s="123"/>
      <c r="O41" s="123"/>
      <c r="P41" s="59" t="s">
        <v>420</v>
      </c>
      <c r="Q41" s="123"/>
      <c r="R41" s="123"/>
      <c r="S41" s="123"/>
      <c r="T41" s="123"/>
      <c r="U41" s="123"/>
      <c r="V41" s="123"/>
      <c r="W41" s="123"/>
      <c r="X41" s="123"/>
      <c r="Y41" s="123"/>
      <c r="Z41" s="123"/>
      <c r="AA41" s="123"/>
    </row>
    <row r="42" spans="1:27" ht="13.8">
      <c r="A42" s="13"/>
      <c r="B42" s="59" t="s">
        <v>412</v>
      </c>
      <c r="C42" s="59" t="s">
        <v>430</v>
      </c>
      <c r="D42" s="123" t="s">
        <v>450</v>
      </c>
      <c r="E42" s="62" t="str">
        <f>IF(D42&lt;&gt;"","SL"&amp;COUNTIF($D$2:D42,"&lt;&gt;"),"")</f>
        <v>SL36</v>
      </c>
      <c r="F42" s="123"/>
      <c r="G42" s="124" t="str">
        <f t="shared" si="0"/>
        <v>https://doi.org/10.1007/s10278-025-01656-7</v>
      </c>
      <c r="H42" s="123" t="s">
        <v>457</v>
      </c>
      <c r="I42" s="59">
        <v>2025</v>
      </c>
      <c r="J42" s="123"/>
      <c r="K42" s="123"/>
      <c r="L42" s="123"/>
      <c r="M42" s="123"/>
      <c r="N42" s="123"/>
      <c r="O42" s="123"/>
      <c r="P42" s="59" t="s">
        <v>421</v>
      </c>
      <c r="Q42" s="123"/>
      <c r="R42" s="123"/>
      <c r="S42" s="123"/>
      <c r="T42" s="123"/>
      <c r="U42" s="123"/>
      <c r="V42" s="123"/>
      <c r="W42" s="123"/>
      <c r="X42" s="123"/>
      <c r="Y42" s="123"/>
      <c r="Z42" s="123"/>
      <c r="AA42" s="123"/>
    </row>
    <row r="43" spans="1:27" ht="13.8">
      <c r="A43" s="13"/>
      <c r="B43" s="59" t="s">
        <v>413</v>
      </c>
      <c r="C43" s="59" t="s">
        <v>431</v>
      </c>
      <c r="D43" s="123" t="s">
        <v>458</v>
      </c>
      <c r="E43" s="62" t="str">
        <f>IF(D43&lt;&gt;"","SL"&amp;COUNTIF($D$2:D43,"&lt;&gt;"),"")</f>
        <v>SL37</v>
      </c>
      <c r="F43" s="123"/>
      <c r="G43" s="124" t="str">
        <f t="shared" si="0"/>
        <v>https://doi.org/10.1007/s43681-025-00729-1</v>
      </c>
      <c r="H43" s="123" t="s">
        <v>459</v>
      </c>
      <c r="I43" s="59">
        <v>2025</v>
      </c>
      <c r="J43" s="123"/>
      <c r="K43" s="123"/>
      <c r="L43" s="123"/>
      <c r="M43" s="123"/>
      <c r="N43" s="123"/>
      <c r="O43" s="123"/>
      <c r="P43" s="59" t="s">
        <v>422</v>
      </c>
      <c r="Q43" s="123"/>
      <c r="R43" s="123"/>
      <c r="S43" s="123"/>
      <c r="T43" s="123"/>
      <c r="U43" s="123"/>
      <c r="V43" s="123"/>
      <c r="W43" s="123"/>
      <c r="X43" s="123"/>
      <c r="Y43" s="123"/>
      <c r="Z43" s="123"/>
      <c r="AA43" s="123"/>
    </row>
    <row r="44" spans="1:27" ht="13.8">
      <c r="A44" s="13"/>
      <c r="B44" s="59" t="s">
        <v>414</v>
      </c>
      <c r="C44" s="59" t="s">
        <v>432</v>
      </c>
      <c r="D44" s="123" t="s">
        <v>460</v>
      </c>
      <c r="E44" s="62" t="str">
        <f>IF(D44&lt;&gt;"","SL"&amp;COUNTIF($D$2:D44,"&lt;&gt;"),"")</f>
        <v>SL38</v>
      </c>
      <c r="F44" s="123"/>
      <c r="G44" s="124" t="str">
        <f t="shared" si="0"/>
        <v>https://doi.org/10.1007/s00146-025-02436-1</v>
      </c>
      <c r="H44" s="123" t="s">
        <v>461</v>
      </c>
      <c r="I44" s="59">
        <v>2025</v>
      </c>
      <c r="J44" s="123"/>
      <c r="K44" s="123"/>
      <c r="L44" s="123"/>
      <c r="M44" s="123"/>
      <c r="N44" s="123"/>
      <c r="O44" s="123"/>
      <c r="P44" s="59" t="s">
        <v>423</v>
      </c>
      <c r="Q44" s="123"/>
      <c r="R44" s="123"/>
      <c r="S44" s="123"/>
      <c r="T44" s="123"/>
      <c r="U44" s="123"/>
      <c r="V44" s="123"/>
      <c r="W44" s="123"/>
      <c r="X44" s="123"/>
      <c r="Y44" s="123"/>
      <c r="Z44" s="123"/>
      <c r="AA44" s="123"/>
    </row>
    <row r="45" spans="1:27" ht="13.8">
      <c r="A45" s="13"/>
      <c r="B45" s="59" t="s">
        <v>415</v>
      </c>
      <c r="C45" s="59" t="s">
        <v>433</v>
      </c>
      <c r="D45" s="123" t="s">
        <v>450</v>
      </c>
      <c r="E45" s="62" t="str">
        <f>IF(D45&lt;&gt;"","SL"&amp;COUNTIF($D$2:D45,"&lt;&gt;"),"")</f>
        <v>SL39</v>
      </c>
      <c r="F45" s="123"/>
      <c r="G45" s="124" t="str">
        <f t="shared" si="0"/>
        <v>https://doi.org/10.1007/s43681-025-00749-x</v>
      </c>
      <c r="H45" s="123" t="s">
        <v>462</v>
      </c>
      <c r="I45" s="59">
        <v>2025</v>
      </c>
      <c r="J45" s="123"/>
      <c r="K45" s="123"/>
      <c r="L45" s="123"/>
      <c r="M45" s="123"/>
      <c r="N45" s="123"/>
      <c r="O45" s="123"/>
      <c r="P45" s="59" t="s">
        <v>424</v>
      </c>
      <c r="Q45" s="123"/>
      <c r="R45" s="123"/>
      <c r="S45" s="123"/>
      <c r="T45" s="123"/>
      <c r="U45" s="123"/>
      <c r="V45" s="123"/>
      <c r="W45" s="123"/>
      <c r="X45" s="123"/>
      <c r="Y45" s="123"/>
      <c r="Z45" s="123"/>
      <c r="AA45" s="123"/>
    </row>
    <row r="46" spans="1:27" ht="13.8">
      <c r="A46" s="13"/>
      <c r="B46" s="59" t="s">
        <v>416</v>
      </c>
      <c r="C46" s="59" t="s">
        <v>434</v>
      </c>
      <c r="D46" s="123" t="s">
        <v>463</v>
      </c>
      <c r="E46" s="62" t="str">
        <f>IF(D46&lt;&gt;"","SL"&amp;COUNTIF($D$2:D46,"&lt;&gt;"),"")</f>
        <v>SL40</v>
      </c>
      <c r="F46" s="123"/>
      <c r="G46" s="124" t="str">
        <f t="shared" si="0"/>
        <v>https://doi.org/10.1057/s41301-024-00401-x</v>
      </c>
      <c r="H46" s="123" t="s">
        <v>464</v>
      </c>
      <c r="I46" s="59">
        <v>2024</v>
      </c>
      <c r="J46" s="123"/>
      <c r="K46" s="123"/>
      <c r="L46" s="123"/>
      <c r="M46" s="123"/>
      <c r="N46" s="123"/>
      <c r="O46" s="123"/>
      <c r="P46" s="59" t="s">
        <v>425</v>
      </c>
      <c r="Q46" s="123"/>
      <c r="R46" s="123"/>
      <c r="S46" s="123"/>
      <c r="T46" s="123"/>
      <c r="U46" s="123"/>
      <c r="V46" s="123"/>
      <c r="W46" s="123"/>
      <c r="X46" s="123"/>
      <c r="Y46" s="123"/>
      <c r="Z46" s="123"/>
      <c r="AA46" s="123"/>
    </row>
    <row r="47" spans="1:27" ht="13.8">
      <c r="A47" s="1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c r="AA47" s="123"/>
    </row>
    <row r="48" spans="1:27" ht="13.8">
      <c r="A48" s="1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c r="AA48" s="123"/>
    </row>
    <row r="49" spans="1:27" ht="13.8">
      <c r="A49" s="1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row>
    <row r="50" spans="1:27" ht="13.8">
      <c r="A50" s="1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c r="AA50" s="123"/>
    </row>
    <row r="51" spans="1:27" ht="13.8">
      <c r="A51" s="1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row>
    <row r="52" spans="1:27" ht="13.8">
      <c r="A52" s="1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c r="AA52" s="123"/>
    </row>
    <row r="53" spans="1:27" ht="13.8">
      <c r="A53" s="1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3"/>
    </row>
    <row r="54" spans="1:27" ht="13.8">
      <c r="A54" s="1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c r="AA54" s="123"/>
    </row>
    <row r="55" spans="1:27" ht="13.8">
      <c r="A55" s="1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3"/>
    </row>
    <row r="56" spans="1:27" ht="13.8">
      <c r="A56" s="1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3"/>
    </row>
    <row r="57" spans="1:27" ht="13.8">
      <c r="A57" s="1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3"/>
    </row>
    <row r="58" spans="1:27" ht="13.8">
      <c r="A58" s="1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3"/>
    </row>
    <row r="59" spans="1:27" ht="13.8">
      <c r="A59" s="1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row>
    <row r="60" spans="1:27" ht="13.8">
      <c r="A60" s="1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row>
    <row r="61" spans="1:27" ht="13.8">
      <c r="A61" s="1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row>
    <row r="62" spans="1:27" ht="13.8">
      <c r="A62" s="1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row>
    <row r="63" spans="1:27" ht="13.8">
      <c r="A63" s="1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row>
    <row r="64" spans="1:27" ht="13.8">
      <c r="A64" s="1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row>
    <row r="65" spans="1:27" ht="13.8">
      <c r="A65" s="1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row>
    <row r="66" spans="1:27" ht="13.8">
      <c r="A66" s="1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row>
    <row r="67" spans="1:27" ht="13.8">
      <c r="A67" s="1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3"/>
    </row>
    <row r="68" spans="1:27" ht="13.8">
      <c r="A68" s="1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row>
    <row r="69" spans="1:27" ht="13.8">
      <c r="A69" s="1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row>
    <row r="70" spans="1:27" ht="13.8">
      <c r="A70" s="1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3"/>
    </row>
    <row r="71" spans="1:27" ht="13.8">
      <c r="A71" s="1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row>
    <row r="72" spans="1:27" ht="13.8">
      <c r="A72" s="1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row>
    <row r="73" spans="1:27" ht="13.8">
      <c r="A73" s="1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row>
    <row r="74" spans="1:27" ht="13.8">
      <c r="A74" s="1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row>
    <row r="75" spans="1:27" ht="13.8">
      <c r="A75" s="1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row>
    <row r="76" spans="1:27" ht="13.8">
      <c r="A76" s="1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row>
    <row r="77" spans="1:27" ht="13.8">
      <c r="A77" s="1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row>
    <row r="78" spans="1:27" ht="13.8">
      <c r="A78" s="1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row>
    <row r="79" spans="1:27" ht="13.8">
      <c r="A79" s="1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row>
    <row r="80" spans="1:27" ht="13.8">
      <c r="A80" s="1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row>
    <row r="81" spans="1:27" ht="13.8">
      <c r="A81" s="1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row>
    <row r="82" spans="1:27" ht="13.8">
      <c r="A82" s="1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row>
    <row r="83" spans="1:27" ht="13.8">
      <c r="A83" s="1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row>
    <row r="84" spans="1:27" ht="13.8">
      <c r="A84" s="1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row>
    <row r="85" spans="1:27" ht="13.8">
      <c r="A85" s="1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row>
    <row r="86" spans="1:27" ht="13.8">
      <c r="A86" s="1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row>
    <row r="87" spans="1:27" ht="13.8">
      <c r="A87" s="1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row>
    <row r="88" spans="1:27" ht="13.8">
      <c r="A88" s="1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row>
    <row r="89" spans="1:27" ht="13.8">
      <c r="A89" s="1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row>
    <row r="90" spans="1:27" ht="13.8">
      <c r="A90" s="1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row>
    <row r="91" spans="1:27" ht="13.8">
      <c r="A91" s="1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row>
    <row r="92" spans="1:27" ht="13.8">
      <c r="A92" s="1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row>
    <row r="93" spans="1:27" ht="13.8">
      <c r="A93" s="1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row>
    <row r="94" spans="1:27" ht="13.8">
      <c r="A94" s="1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row>
    <row r="95" spans="1:27" ht="13.8">
      <c r="A95" s="1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3"/>
    </row>
    <row r="96" spans="1:27" ht="13.8">
      <c r="A96" s="1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row>
    <row r="97" spans="1:27" ht="13.8">
      <c r="A97" s="1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3"/>
    </row>
    <row r="98" spans="1:27" ht="13.8">
      <c r="A98" s="1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row>
    <row r="99" spans="1:27" ht="13.8">
      <c r="A99" s="1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row>
    <row r="100" spans="1:27" ht="13.8">
      <c r="A100" s="1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row>
    <row r="101" spans="1:27" ht="13.8">
      <c r="A101" s="1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row>
    <row r="102" spans="1:27" ht="13.8">
      <c r="A102" s="1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3"/>
    </row>
    <row r="103" spans="1:27" ht="13.8">
      <c r="A103" s="1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row>
    <row r="104" spans="1:27" ht="13.8">
      <c r="A104" s="1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row>
    <row r="105" spans="1:27" ht="13.8">
      <c r="A105" s="1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row>
    <row r="106" spans="1:27" ht="13.8">
      <c r="A106" s="1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3"/>
    </row>
    <row r="107" spans="1:27" ht="13.8">
      <c r="A107" s="1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row>
    <row r="108" spans="1:27" ht="13.8">
      <c r="A108" s="1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row>
    <row r="109" spans="1:27" ht="13.8">
      <c r="A109" s="1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row>
    <row r="110" spans="1:27" ht="13.8">
      <c r="A110" s="1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row>
    <row r="111" spans="1:27" ht="13.8">
      <c r="A111" s="1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row>
    <row r="112" spans="1:27" ht="13.8">
      <c r="A112" s="1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row>
    <row r="113" spans="1:27" ht="13.8">
      <c r="A113" s="1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row>
    <row r="114" spans="1:27" ht="13.8">
      <c r="A114" s="1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3"/>
    </row>
    <row r="115" spans="1:27" ht="13.8">
      <c r="A115" s="1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3"/>
    </row>
    <row r="116" spans="1:27" ht="13.8">
      <c r="A116" s="1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row>
    <row r="117" spans="1:27" ht="13.8">
      <c r="A117" s="1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row>
    <row r="118" spans="1:27" ht="13.8">
      <c r="A118" s="1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3"/>
    </row>
    <row r="119" spans="1:27" ht="13.8">
      <c r="A119" s="1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row>
    <row r="120" spans="1:27" ht="13.8">
      <c r="A120" s="1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row>
    <row r="121" spans="1:27" ht="13.8">
      <c r="A121" s="1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row>
    <row r="122" spans="1:27" ht="13.8">
      <c r="A122" s="1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row>
    <row r="123" spans="1:27" ht="13.8">
      <c r="A123" s="1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row>
    <row r="124" spans="1:27" ht="13.8">
      <c r="A124" s="1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row>
    <row r="125" spans="1:27" ht="13.8">
      <c r="A125" s="1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row>
    <row r="126" spans="1:27" ht="13.8">
      <c r="A126" s="1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row>
    <row r="127" spans="1:27" ht="13.8">
      <c r="A127" s="1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row>
    <row r="128" spans="1:27" ht="13.8">
      <c r="A128" s="1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row>
    <row r="129" spans="1:27" ht="13.8">
      <c r="A129" s="1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row>
    <row r="130" spans="1:27" ht="13.8">
      <c r="A130" s="1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row>
    <row r="131" spans="1:27" ht="13.8">
      <c r="A131" s="1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row>
    <row r="132" spans="1:27" ht="13.8">
      <c r="A132" s="1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row>
    <row r="133" spans="1:27" ht="13.8">
      <c r="A133" s="1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row>
    <row r="134" spans="1:27" ht="13.8">
      <c r="A134" s="1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row>
    <row r="135" spans="1:27" ht="13.8">
      <c r="A135" s="1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row>
    <row r="136" spans="1:27" ht="13.8">
      <c r="A136" s="1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row>
    <row r="137" spans="1:27" ht="13.8">
      <c r="A137" s="1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row>
    <row r="138" spans="1:27" ht="13.8">
      <c r="A138" s="1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row>
    <row r="139" spans="1:27" ht="13.8">
      <c r="A139" s="1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row>
    <row r="140" spans="1:27" ht="13.8">
      <c r="A140" s="1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row>
    <row r="141" spans="1:27" ht="13.8">
      <c r="A141" s="1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row>
    <row r="142" spans="1:27" ht="13.8">
      <c r="A142" s="1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row>
    <row r="143" spans="1:27" ht="13.8">
      <c r="A143" s="1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3"/>
    </row>
    <row r="144" spans="1:27" ht="13.8">
      <c r="A144" s="1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3"/>
    </row>
    <row r="145" spans="1:27" ht="13.8">
      <c r="A145" s="1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3"/>
    </row>
    <row r="146" spans="1:27" ht="13.8">
      <c r="A146" s="1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3"/>
    </row>
    <row r="147" spans="1:27" ht="13.8">
      <c r="A147" s="1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row>
    <row r="148" spans="1:27" ht="13.8">
      <c r="A148" s="1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row>
    <row r="149" spans="1:27" ht="13.8">
      <c r="A149" s="1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row>
    <row r="150" spans="1:27" ht="13.8">
      <c r="A150" s="1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row>
    <row r="151" spans="1:27" ht="13.8">
      <c r="A151" s="1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row>
    <row r="152" spans="1:27" ht="13.8">
      <c r="A152" s="1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row>
    <row r="153" spans="1:27" ht="13.8">
      <c r="A153" s="1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3"/>
    </row>
    <row r="154" spans="1:27" ht="13.8">
      <c r="A154" s="1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123"/>
    </row>
    <row r="155" spans="1:27" ht="13.8">
      <c r="A155" s="1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3"/>
    </row>
    <row r="156" spans="1:27" ht="13.8">
      <c r="A156" s="1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row>
    <row r="157" spans="1:27" ht="13.8">
      <c r="A157" s="1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3"/>
    </row>
    <row r="158" spans="1:27" ht="13.8">
      <c r="A158" s="1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3"/>
    </row>
    <row r="159" spans="1:27" ht="13.8">
      <c r="A159" s="1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c r="AA159" s="123"/>
    </row>
    <row r="160" spans="1:27" ht="13.8">
      <c r="A160" s="1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c r="AA160" s="123"/>
    </row>
    <row r="161" spans="1:27" ht="13.8">
      <c r="A161" s="1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c r="AA161" s="123"/>
    </row>
    <row r="162" spans="1:27" ht="13.8">
      <c r="A162" s="1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c r="AA162" s="123"/>
    </row>
    <row r="163" spans="1:27" ht="13.8">
      <c r="A163" s="1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c r="AA163" s="123"/>
    </row>
    <row r="164" spans="1:27" ht="13.8">
      <c r="A164" s="1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c r="AA164" s="123"/>
    </row>
    <row r="165" spans="1:27" ht="13.8">
      <c r="A165" s="1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c r="AA165" s="123"/>
    </row>
    <row r="166" spans="1:27" ht="13.8">
      <c r="A166" s="1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c r="AA166" s="123"/>
    </row>
    <row r="167" spans="1:27" ht="13.8">
      <c r="A167" s="1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c r="AA167" s="123"/>
    </row>
    <row r="168" spans="1:27" ht="13.8">
      <c r="A168" s="1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c r="AA168" s="123"/>
    </row>
    <row r="169" spans="1:27" ht="13.8">
      <c r="A169" s="1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c r="AA169" s="123"/>
    </row>
    <row r="170" spans="1:27" ht="13.8">
      <c r="A170" s="1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c r="AA170" s="123"/>
    </row>
    <row r="171" spans="1:27" ht="13.8">
      <c r="A171" s="1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c r="AA171" s="123"/>
    </row>
    <row r="172" spans="1:27" ht="13.8">
      <c r="A172" s="1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c r="AA172" s="123"/>
    </row>
    <row r="173" spans="1:27" ht="13.8">
      <c r="A173" s="1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c r="AA173" s="123"/>
    </row>
    <row r="174" spans="1:27" ht="13.8">
      <c r="A174" s="1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c r="AA174" s="123"/>
    </row>
    <row r="175" spans="1:27" ht="13.8">
      <c r="A175" s="1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c r="AA175" s="123"/>
    </row>
    <row r="176" spans="1:27" ht="13.8">
      <c r="A176" s="1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c r="AA176" s="123"/>
    </row>
    <row r="177" spans="1:27" ht="13.8">
      <c r="A177" s="1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c r="AA177" s="123"/>
    </row>
    <row r="178" spans="1:27" ht="13.8">
      <c r="A178" s="1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c r="AA178" s="123"/>
    </row>
    <row r="179" spans="1:27" ht="13.8">
      <c r="A179" s="1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c r="AA179" s="123"/>
    </row>
    <row r="180" spans="1:27" ht="13.8">
      <c r="A180" s="1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c r="AA180" s="123"/>
    </row>
    <row r="181" spans="1:27" ht="13.8">
      <c r="A181" s="1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c r="AA181" s="123"/>
    </row>
    <row r="182" spans="1:27" ht="13.8">
      <c r="A182" s="1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c r="AA182" s="123"/>
    </row>
    <row r="183" spans="1:27" ht="13.8">
      <c r="A183" s="1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c r="AA183" s="123"/>
    </row>
    <row r="184" spans="1:27" ht="13.8">
      <c r="A184" s="1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c r="AA184" s="123"/>
    </row>
    <row r="185" spans="1:27" ht="13.8">
      <c r="A185" s="1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c r="AA185" s="123"/>
    </row>
    <row r="186" spans="1:27" ht="13.8">
      <c r="A186" s="1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c r="AA186" s="123"/>
    </row>
    <row r="187" spans="1:27" ht="13.8">
      <c r="A187" s="1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c r="AA187" s="123"/>
    </row>
    <row r="188" spans="1:27" ht="13.8">
      <c r="A188" s="1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c r="AA188" s="123"/>
    </row>
    <row r="189" spans="1:27" ht="13.8">
      <c r="A189" s="1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c r="AA189" s="123"/>
    </row>
    <row r="190" spans="1:27" ht="13.8">
      <c r="A190" s="1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c r="AA190" s="123"/>
    </row>
    <row r="191" spans="1:27" ht="13.8">
      <c r="A191" s="1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c r="AA191" s="123"/>
    </row>
    <row r="192" spans="1:27" ht="13.8">
      <c r="A192" s="1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c r="AA192" s="123"/>
    </row>
    <row r="193" spans="1:27" ht="13.8">
      <c r="A193" s="1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c r="AA193" s="123"/>
    </row>
    <row r="194" spans="1:27" ht="13.8">
      <c r="A194" s="1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c r="AA194" s="123"/>
    </row>
    <row r="195" spans="1:27" ht="13.8">
      <c r="A195" s="1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c r="AA195" s="123"/>
    </row>
    <row r="196" spans="1:27" ht="13.8">
      <c r="A196" s="1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c r="AA196" s="123"/>
    </row>
    <row r="197" spans="1:27" ht="13.8">
      <c r="A197" s="1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c r="AA197" s="123"/>
    </row>
    <row r="198" spans="1:27" ht="13.8">
      <c r="A198" s="1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c r="AA198" s="123"/>
    </row>
    <row r="199" spans="1:27" ht="13.8">
      <c r="A199" s="1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c r="AA199" s="123"/>
    </row>
    <row r="200" spans="1:27" ht="13.8">
      <c r="A200" s="1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c r="AA200" s="123"/>
    </row>
    <row r="201" spans="1:27" ht="13.8">
      <c r="A201" s="1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3"/>
    </row>
    <row r="202" spans="1:27" ht="13.8">
      <c r="A202" s="1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c r="AA202" s="123"/>
    </row>
    <row r="203" spans="1:27" ht="13.8">
      <c r="A203" s="1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3"/>
    </row>
    <row r="204" spans="1:27" ht="13.8">
      <c r="A204" s="1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row>
    <row r="205" spans="1:27" ht="13.8">
      <c r="A205" s="1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c r="AA205" s="123"/>
    </row>
    <row r="206" spans="1:27" ht="13.8">
      <c r="A206" s="1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c r="AA206" s="123"/>
    </row>
    <row r="207" spans="1:27" ht="13.8">
      <c r="A207" s="1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c r="AA207" s="123"/>
    </row>
    <row r="208" spans="1:27" ht="13.8">
      <c r="A208" s="1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c r="AA208" s="123"/>
    </row>
    <row r="209" spans="1:27" ht="13.8">
      <c r="A209" s="1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c r="AA209" s="123"/>
    </row>
    <row r="210" spans="1:27" ht="13.8">
      <c r="A210" s="1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c r="AA210" s="123"/>
    </row>
    <row r="211" spans="1:27" ht="13.8">
      <c r="A211" s="1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c r="AA211" s="123"/>
    </row>
    <row r="212" spans="1:27" ht="13.8">
      <c r="A212" s="1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c r="AA212" s="123"/>
    </row>
    <row r="213" spans="1:27" ht="13.8">
      <c r="A213" s="1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c r="AA213" s="123"/>
    </row>
    <row r="214" spans="1:27" ht="13.8">
      <c r="A214" s="1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c r="AA214" s="123"/>
    </row>
    <row r="215" spans="1:27" ht="13.8">
      <c r="A215" s="1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3"/>
    </row>
    <row r="216" spans="1:27" ht="13.8">
      <c r="A216" s="1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c r="AA216" s="123"/>
    </row>
    <row r="217" spans="1:27" ht="13.8">
      <c r="A217" s="1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c r="AA217" s="123"/>
    </row>
    <row r="218" spans="1:27" ht="13.8">
      <c r="A218" s="1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c r="AA218" s="123"/>
    </row>
    <row r="219" spans="1:27" ht="13.8">
      <c r="A219" s="1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c r="AA219" s="123"/>
    </row>
    <row r="220" spans="1:27" ht="13.8">
      <c r="A220" s="1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c r="AA220" s="123"/>
    </row>
    <row r="221" spans="1:27" ht="13.8">
      <c r="A221" s="1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c r="AA221" s="123"/>
    </row>
    <row r="222" spans="1:27" ht="13.8">
      <c r="A222" s="1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c r="AA222" s="123"/>
    </row>
    <row r="223" spans="1:27" ht="13.8">
      <c r="A223" s="1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3"/>
    </row>
    <row r="224" spans="1:27" ht="13.8">
      <c r="A224" s="1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row>
    <row r="225" spans="1:27" ht="13.8">
      <c r="A225" s="1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row>
    <row r="226" spans="1:27" ht="13.8">
      <c r="A226" s="1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row>
    <row r="227" spans="1:27" ht="13.8">
      <c r="A227" s="1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row>
    <row r="228" spans="1:27" ht="13.8">
      <c r="A228" s="1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row>
    <row r="229" spans="1:27" ht="13.8">
      <c r="A229" s="1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row>
    <row r="230" spans="1:27" ht="13.8">
      <c r="A230" s="1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row>
    <row r="231" spans="1:27" ht="13.8">
      <c r="A231" s="1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row>
    <row r="232" spans="1:27" ht="13.8">
      <c r="A232" s="1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row>
    <row r="233" spans="1:27" ht="13.8">
      <c r="A233" s="1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row>
    <row r="234" spans="1:27" ht="13.8">
      <c r="A234" s="1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row>
    <row r="235" spans="1:27" ht="13.8">
      <c r="A235" s="1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row>
    <row r="236" spans="1:27" ht="13.8">
      <c r="A236" s="1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row>
    <row r="237" spans="1:27" ht="13.8">
      <c r="A237" s="1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row>
    <row r="238" spans="1:27" ht="13.8">
      <c r="A238" s="1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row>
    <row r="239" spans="1:27" ht="13.8">
      <c r="A239" s="1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row>
    <row r="240" spans="1:27" ht="13.8">
      <c r="A240" s="1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row>
    <row r="241" spans="1:27" ht="13.8">
      <c r="A241" s="1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row>
    <row r="242" spans="1:27" ht="13.8">
      <c r="A242" s="1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row>
    <row r="243" spans="1:27" ht="13.8">
      <c r="A243" s="1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row>
    <row r="244" spans="1:27" ht="13.8">
      <c r="A244" s="1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row>
    <row r="245" spans="1:27" ht="13.8">
      <c r="A245" s="1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row>
    <row r="246" spans="1:27" ht="13.8">
      <c r="A246" s="1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row>
    <row r="247" spans="1:27" ht="13.8">
      <c r="A247" s="1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row>
    <row r="248" spans="1:27" ht="13.8">
      <c r="A248" s="1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row>
    <row r="249" spans="1:27" ht="13.8">
      <c r="A249" s="1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row>
    <row r="250" spans="1:27" ht="13.8">
      <c r="A250" s="1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row>
    <row r="251" spans="1:27" ht="13.8">
      <c r="A251" s="1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row>
    <row r="252" spans="1:27" ht="13.8">
      <c r="A252" s="1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row>
    <row r="253" spans="1:27" ht="13.8">
      <c r="A253" s="1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row>
    <row r="254" spans="1:27" ht="13.8">
      <c r="A254" s="1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row>
    <row r="255" spans="1:27" ht="13.8">
      <c r="A255" s="1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row>
    <row r="256" spans="1:27" ht="13.8">
      <c r="A256" s="1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row>
    <row r="257" spans="1:27" ht="13.8">
      <c r="A257" s="1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row>
    <row r="258" spans="1:27" ht="13.8">
      <c r="A258" s="1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row>
    <row r="259" spans="1:27" ht="13.8">
      <c r="A259" s="1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row>
    <row r="260" spans="1:27" ht="13.8">
      <c r="A260" s="1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row>
    <row r="261" spans="1:27" ht="13.8">
      <c r="A261" s="1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row>
    <row r="262" spans="1:27" ht="13.8">
      <c r="A262" s="1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row>
    <row r="263" spans="1:27" ht="13.8">
      <c r="A263" s="1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row>
    <row r="264" spans="1:27" ht="13.8">
      <c r="A264" s="1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row>
    <row r="265" spans="1:27" ht="13.8">
      <c r="A265" s="1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row>
    <row r="266" spans="1:27" ht="13.8">
      <c r="A266" s="1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row>
    <row r="267" spans="1:27" ht="13.8">
      <c r="A267" s="1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row>
    <row r="268" spans="1:27" ht="13.8">
      <c r="A268" s="1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row>
    <row r="269" spans="1:27" ht="13.8">
      <c r="A269" s="1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row>
    <row r="270" spans="1:27" ht="13.8">
      <c r="A270" s="1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row>
    <row r="271" spans="1:27" ht="13.8">
      <c r="A271" s="1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row>
    <row r="272" spans="1:27" ht="13.8">
      <c r="A272" s="1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row>
    <row r="273" spans="1:27" ht="13.8">
      <c r="A273" s="1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row>
    <row r="274" spans="1:27" ht="13.8">
      <c r="A274" s="1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row>
    <row r="275" spans="1:27" ht="13.8">
      <c r="A275" s="1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row>
    <row r="276" spans="1:27" ht="13.8">
      <c r="A276" s="1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row>
    <row r="277" spans="1:27" ht="13.8">
      <c r="A277" s="1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row>
    <row r="278" spans="1:27" ht="13.8">
      <c r="A278" s="1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row>
    <row r="279" spans="1:27" ht="13.8">
      <c r="A279" s="1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row>
    <row r="280" spans="1:27" ht="13.8">
      <c r="A280" s="1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row>
    <row r="281" spans="1:27" ht="13.8">
      <c r="A281" s="1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row>
    <row r="282" spans="1:27" ht="13.8">
      <c r="A282" s="1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row>
    <row r="283" spans="1:27" ht="13.8">
      <c r="A283" s="1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row>
    <row r="284" spans="1:27" ht="13.8">
      <c r="A284" s="1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row>
    <row r="285" spans="1:27" ht="13.8">
      <c r="A285" s="1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row>
    <row r="286" spans="1:27" ht="13.8">
      <c r="A286" s="1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row>
    <row r="287" spans="1:27" ht="13.8">
      <c r="A287" s="1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row>
    <row r="288" spans="1:27" ht="13.8">
      <c r="A288" s="1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row>
    <row r="289" spans="1:27" ht="13.8">
      <c r="A289" s="1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row>
    <row r="290" spans="1:27" ht="13.8">
      <c r="A290" s="1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row>
    <row r="291" spans="1:27" ht="13.8">
      <c r="A291" s="1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row>
    <row r="292" spans="1:27" ht="13.8">
      <c r="A292" s="1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row>
    <row r="293" spans="1:27" ht="13.8">
      <c r="A293" s="1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row>
    <row r="294" spans="1:27" ht="13.8">
      <c r="A294" s="1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row>
    <row r="295" spans="1:27" ht="13.8">
      <c r="A295" s="1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row>
    <row r="296" spans="1:27" ht="13.8">
      <c r="A296" s="1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row>
    <row r="297" spans="1:27" ht="13.8">
      <c r="A297" s="1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row>
    <row r="298" spans="1:27" ht="13.8">
      <c r="A298" s="1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row>
    <row r="299" spans="1:27" ht="13.8">
      <c r="A299" s="1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row>
    <row r="300" spans="1:27" ht="13.8">
      <c r="A300" s="1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row>
    <row r="301" spans="1:27" ht="13.8">
      <c r="A301" s="1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row>
    <row r="302" spans="1:27" ht="13.8">
      <c r="A302" s="1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row>
    <row r="303" spans="1:27" ht="13.8">
      <c r="A303" s="1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row>
    <row r="304" spans="1:27" ht="13.8">
      <c r="A304" s="1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row>
    <row r="305" spans="1:27" ht="13.8">
      <c r="A305" s="1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row>
    <row r="306" spans="1:27" ht="13.8">
      <c r="A306" s="1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row>
    <row r="307" spans="1:27" ht="13.8">
      <c r="A307" s="1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row>
    <row r="308" spans="1:27" ht="13.8">
      <c r="A308" s="1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row>
    <row r="309" spans="1:27" ht="13.8">
      <c r="A309" s="1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row>
    <row r="310" spans="1:27" ht="13.8">
      <c r="A310" s="1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row>
    <row r="311" spans="1:27" ht="13.8">
      <c r="A311" s="1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row>
    <row r="312" spans="1:27" ht="13.8">
      <c r="A312" s="1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row>
    <row r="313" spans="1:27" ht="13.8">
      <c r="A313" s="1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row>
    <row r="314" spans="1:27" ht="13.8">
      <c r="A314" s="1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row>
    <row r="315" spans="1:27" ht="13.8">
      <c r="A315" s="1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row>
    <row r="316" spans="1:27" ht="13.8">
      <c r="A316" s="1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row>
    <row r="317" spans="1:27" ht="13.8">
      <c r="A317" s="1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row>
    <row r="318" spans="1:27" ht="13.8">
      <c r="A318" s="1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row>
    <row r="319" spans="1:27" ht="13.8">
      <c r="A319" s="1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row>
    <row r="320" spans="1:27" ht="13.8">
      <c r="A320" s="1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row>
    <row r="321" spans="1:27" ht="13.8">
      <c r="A321" s="1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row>
    <row r="322" spans="1:27" ht="13.8">
      <c r="A322" s="1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row>
    <row r="323" spans="1:27" ht="13.8">
      <c r="A323" s="1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row>
    <row r="324" spans="1:27" ht="13.8">
      <c r="A324" s="1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row>
    <row r="325" spans="1:27" ht="13.8">
      <c r="A325" s="1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row>
    <row r="326" spans="1:27" ht="13.8">
      <c r="A326" s="1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row>
    <row r="327" spans="1:27" ht="13.8">
      <c r="A327" s="1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row>
    <row r="328" spans="1:27" ht="13.8">
      <c r="A328" s="1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row>
    <row r="329" spans="1:27" ht="13.8">
      <c r="A329" s="1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row>
    <row r="330" spans="1:27" ht="13.8">
      <c r="A330" s="1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row>
    <row r="331" spans="1:27" ht="13.8">
      <c r="A331" s="1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row>
    <row r="332" spans="1:27" ht="13.8">
      <c r="A332" s="1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row>
    <row r="333" spans="1:27" ht="13.8">
      <c r="A333" s="1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row>
    <row r="334" spans="1:27" ht="13.8">
      <c r="A334" s="1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row>
    <row r="335" spans="1:27" ht="13.8">
      <c r="A335" s="1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row>
    <row r="336" spans="1:27" ht="13.8">
      <c r="A336" s="1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row>
    <row r="337" spans="1:27" ht="13.8">
      <c r="A337" s="1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row>
    <row r="338" spans="1:27" ht="13.8">
      <c r="A338" s="1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row>
    <row r="339" spans="1:27" ht="13.8">
      <c r="A339" s="1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row>
    <row r="340" spans="1:27" ht="13.8">
      <c r="A340" s="1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row>
    <row r="341" spans="1:27" ht="13.8">
      <c r="A341" s="1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row>
    <row r="342" spans="1:27" ht="13.8">
      <c r="A342" s="1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row>
    <row r="343" spans="1:27" ht="13.8">
      <c r="A343" s="1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row>
    <row r="344" spans="1:27" ht="13.8">
      <c r="A344" s="1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row>
    <row r="345" spans="1:27" ht="13.8">
      <c r="A345" s="1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row>
    <row r="346" spans="1:27" ht="13.8">
      <c r="A346" s="1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row>
    <row r="347" spans="1:27" ht="13.8">
      <c r="A347" s="1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row>
    <row r="348" spans="1:27" ht="13.8">
      <c r="A348" s="1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row>
    <row r="349" spans="1:27" ht="13.8">
      <c r="A349" s="1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row>
    <row r="350" spans="1:27" ht="13.8">
      <c r="A350" s="1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row>
    <row r="351" spans="1:27" ht="13.8">
      <c r="A351" s="1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row>
    <row r="352" spans="1:27" ht="13.8">
      <c r="A352" s="1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row>
    <row r="353" spans="1:27" ht="13.8">
      <c r="A353" s="1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row>
    <row r="354" spans="1:27" ht="13.8">
      <c r="A354" s="1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row>
    <row r="355" spans="1:27" ht="13.8">
      <c r="A355" s="1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row>
    <row r="356" spans="1:27" ht="13.8">
      <c r="A356" s="1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row>
    <row r="357" spans="1:27" ht="13.8">
      <c r="A357" s="1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row>
    <row r="358" spans="1:27" ht="13.8">
      <c r="A358" s="1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row>
    <row r="359" spans="1:27" ht="13.8">
      <c r="A359" s="1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row>
    <row r="360" spans="1:27" ht="13.8">
      <c r="A360" s="1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row>
    <row r="361" spans="1:27" ht="13.8">
      <c r="A361" s="1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row>
    <row r="362" spans="1:27" ht="13.8">
      <c r="A362" s="1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row>
    <row r="363" spans="1:27" ht="13.8">
      <c r="A363" s="1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row>
    <row r="364" spans="1:27" ht="13.8">
      <c r="A364" s="1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row>
    <row r="365" spans="1:27" ht="13.8">
      <c r="A365" s="1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row>
    <row r="366" spans="1:27" ht="13.8">
      <c r="A366" s="1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row>
    <row r="367" spans="1:27" ht="13.8">
      <c r="A367" s="1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row>
    <row r="368" spans="1:27" ht="13.8">
      <c r="A368" s="1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row>
    <row r="369" spans="1:27" ht="13.8">
      <c r="A369" s="1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row>
    <row r="370" spans="1:27" ht="13.8">
      <c r="A370" s="1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row>
    <row r="371" spans="1:27" ht="13.8">
      <c r="A371" s="1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row>
    <row r="372" spans="1:27" ht="13.8">
      <c r="A372" s="1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row>
    <row r="373" spans="1:27" ht="13.8">
      <c r="A373" s="1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row>
    <row r="374" spans="1:27" ht="13.8">
      <c r="A374" s="1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row>
    <row r="375" spans="1:27" ht="13.8">
      <c r="A375" s="1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row>
    <row r="376" spans="1:27" ht="13.8">
      <c r="A376" s="1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row>
    <row r="377" spans="1:27" ht="13.8">
      <c r="A377" s="1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row>
    <row r="378" spans="1:27" ht="13.8">
      <c r="A378" s="1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row>
    <row r="379" spans="1:27" ht="13.8">
      <c r="A379" s="1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row>
    <row r="380" spans="1:27" ht="13.8">
      <c r="A380" s="1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row>
    <row r="381" spans="1:27" ht="13.8">
      <c r="A381" s="1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row>
    <row r="382" spans="1:27" ht="13.8">
      <c r="A382" s="1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row>
    <row r="383" spans="1:27" ht="13.8">
      <c r="A383" s="1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row>
    <row r="384" spans="1:27" ht="13.8">
      <c r="A384" s="1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row>
    <row r="385" spans="1:27" ht="13.8">
      <c r="A385" s="1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row>
    <row r="386" spans="1:27" ht="13.8">
      <c r="A386" s="1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row>
    <row r="387" spans="1:27" ht="13.8">
      <c r="A387" s="1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row>
    <row r="388" spans="1:27" ht="13.8">
      <c r="A388" s="1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row>
    <row r="389" spans="1:27" ht="13.8">
      <c r="A389" s="1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row>
    <row r="390" spans="1:27" ht="13.8">
      <c r="A390" s="1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row>
    <row r="391" spans="1:27" ht="13.8">
      <c r="A391" s="1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row>
    <row r="392" spans="1:27" ht="13.8">
      <c r="A392" s="1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row>
    <row r="393" spans="1:27" ht="13.8">
      <c r="A393" s="1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row>
    <row r="394" spans="1:27" ht="13.8">
      <c r="A394" s="1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row>
    <row r="395" spans="1:27" ht="13.8">
      <c r="A395" s="1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row>
    <row r="396" spans="1:27" ht="13.8">
      <c r="A396" s="1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row>
    <row r="397" spans="1:27" ht="13.8">
      <c r="A397" s="1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row>
    <row r="398" spans="1:27" ht="13.8">
      <c r="A398" s="1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row>
    <row r="399" spans="1:27" ht="13.8">
      <c r="A399" s="1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row>
    <row r="400" spans="1:27" ht="13.8">
      <c r="A400" s="1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row>
    <row r="401" spans="1:27" ht="13.8">
      <c r="A401" s="1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row>
    <row r="402" spans="1:27" ht="13.8">
      <c r="A402" s="1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row>
    <row r="403" spans="1:27" ht="13.8">
      <c r="A403" s="1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row>
    <row r="404" spans="1:27" ht="13.8">
      <c r="A404" s="1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row>
    <row r="405" spans="1:27" ht="13.8">
      <c r="A405" s="1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row>
    <row r="406" spans="1:27" ht="13.8">
      <c r="A406" s="1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row>
    <row r="407" spans="1:27" ht="13.8">
      <c r="A407" s="1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row>
    <row r="408" spans="1:27" ht="13.8">
      <c r="A408" s="1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row>
    <row r="409" spans="1:27" ht="13.8">
      <c r="A409" s="1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row>
    <row r="410" spans="1:27" ht="13.8">
      <c r="A410" s="1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row>
    <row r="411" spans="1:27" ht="13.8">
      <c r="A411" s="1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row>
    <row r="412" spans="1:27" ht="13.8">
      <c r="A412" s="1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row>
    <row r="413" spans="1:27" ht="13.8">
      <c r="A413" s="1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row>
    <row r="414" spans="1:27" ht="13.8">
      <c r="A414" s="1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row>
    <row r="415" spans="1:27" ht="13.8">
      <c r="A415" s="1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row>
    <row r="416" spans="1:27" ht="13.8">
      <c r="A416" s="1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row>
    <row r="417" spans="1:27" ht="13.8">
      <c r="A417" s="1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row>
    <row r="418" spans="1:27" ht="13.8">
      <c r="A418" s="1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row>
    <row r="419" spans="1:27" ht="13.8">
      <c r="A419" s="1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row>
    <row r="420" spans="1:27" ht="13.8">
      <c r="A420" s="1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row>
    <row r="421" spans="1:27" ht="13.8">
      <c r="A421" s="1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row>
    <row r="422" spans="1:27" ht="13.8">
      <c r="A422" s="1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row>
    <row r="423" spans="1:27" ht="13.8">
      <c r="A423" s="1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row>
    <row r="424" spans="1:27" ht="13.8">
      <c r="A424" s="1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row>
    <row r="425" spans="1:27" ht="13.8">
      <c r="A425" s="1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row>
    <row r="426" spans="1:27" ht="13.8">
      <c r="A426" s="1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row>
    <row r="427" spans="1:27" ht="13.8">
      <c r="A427" s="1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row>
    <row r="428" spans="1:27" ht="13.8">
      <c r="A428" s="1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row>
    <row r="429" spans="1:27" ht="13.8">
      <c r="A429" s="1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row>
    <row r="430" spans="1:27" ht="13.8">
      <c r="A430" s="1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row>
    <row r="431" spans="1:27" ht="13.8">
      <c r="A431" s="1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row>
    <row r="432" spans="1:27" ht="13.8">
      <c r="A432" s="1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row>
    <row r="433" spans="1:27" ht="13.8">
      <c r="A433" s="1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row>
    <row r="434" spans="1:27" ht="13.8">
      <c r="A434" s="1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row>
    <row r="435" spans="1:27" ht="13.8">
      <c r="A435" s="1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row>
    <row r="436" spans="1:27" ht="13.8">
      <c r="A436" s="1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row>
    <row r="437" spans="1:27" ht="13.8">
      <c r="A437" s="1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row>
    <row r="438" spans="1:27" ht="13.8">
      <c r="A438" s="1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row>
    <row r="439" spans="1:27" ht="13.8">
      <c r="A439" s="1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row>
    <row r="440" spans="1:27" ht="13.8">
      <c r="A440" s="1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row>
    <row r="441" spans="1:27" ht="13.8">
      <c r="A441" s="1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row>
    <row r="442" spans="1:27" ht="13.8">
      <c r="A442" s="1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row>
    <row r="443" spans="1:27" ht="13.8">
      <c r="A443" s="1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row>
    <row r="444" spans="1:27" ht="13.8">
      <c r="A444" s="1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row>
    <row r="445" spans="1:27" ht="13.8">
      <c r="A445" s="1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row>
    <row r="446" spans="1:27" ht="13.8">
      <c r="A446" s="1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row>
    <row r="447" spans="1:27" ht="13.8">
      <c r="A447" s="1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row>
    <row r="448" spans="1:27" ht="13.8">
      <c r="A448" s="1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row>
    <row r="449" spans="1:27" ht="13.8">
      <c r="A449" s="1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row>
    <row r="450" spans="1:27" ht="13.8">
      <c r="A450" s="1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row>
    <row r="451" spans="1:27" ht="13.8">
      <c r="A451" s="1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row>
    <row r="452" spans="1:27" ht="13.8">
      <c r="A452" s="1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row>
    <row r="453" spans="1:27" ht="13.8">
      <c r="A453" s="1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row>
    <row r="454" spans="1:27" ht="13.8">
      <c r="A454" s="1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row>
    <row r="455" spans="1:27" ht="13.8">
      <c r="A455" s="1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row>
    <row r="456" spans="1:27" ht="13.8">
      <c r="A456" s="1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row>
    <row r="457" spans="1:27" ht="13.8">
      <c r="A457" s="1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row>
    <row r="458" spans="1:27" ht="13.8">
      <c r="A458" s="1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row>
    <row r="459" spans="1:27" ht="13.8">
      <c r="A459" s="1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row>
    <row r="460" spans="1:27" ht="13.8">
      <c r="A460" s="1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row>
    <row r="461" spans="1:27" ht="13.8">
      <c r="A461" s="1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row>
    <row r="462" spans="1:27" ht="13.8">
      <c r="A462" s="1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row>
    <row r="463" spans="1:27" ht="13.8">
      <c r="A463" s="1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row>
    <row r="464" spans="1:27" ht="13.8">
      <c r="A464" s="1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row>
    <row r="465" spans="1:27" ht="13.8">
      <c r="A465" s="1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row>
    <row r="466" spans="1:27" ht="13.8">
      <c r="A466" s="1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row>
    <row r="467" spans="1:27" ht="13.8">
      <c r="A467" s="1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row>
    <row r="468" spans="1:27" ht="13.8">
      <c r="A468" s="1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row>
    <row r="469" spans="1:27" ht="13.8">
      <c r="A469" s="1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row>
    <row r="470" spans="1:27" ht="13.8">
      <c r="A470" s="1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row>
    <row r="471" spans="1:27" ht="13.8">
      <c r="A471" s="1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row>
    <row r="472" spans="1:27" ht="13.8">
      <c r="A472" s="1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row>
    <row r="473" spans="1:27" ht="13.8">
      <c r="A473" s="1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row>
    <row r="474" spans="1:27" ht="13.8">
      <c r="A474" s="1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row>
    <row r="475" spans="1:27" ht="13.8">
      <c r="A475" s="1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row>
    <row r="476" spans="1:27" ht="13.8">
      <c r="A476" s="1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row>
    <row r="477" spans="1:27" ht="13.8">
      <c r="A477" s="1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row>
    <row r="478" spans="1:27" ht="13.8">
      <c r="A478" s="1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row>
    <row r="479" spans="1:27" ht="13.8">
      <c r="A479" s="1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row>
    <row r="480" spans="1:27" ht="13.8">
      <c r="A480" s="1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row>
    <row r="481" spans="1:27" ht="13.8">
      <c r="A481" s="1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row>
    <row r="482" spans="1:27" ht="13.8">
      <c r="A482" s="1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row>
    <row r="483" spans="1:27" ht="13.8">
      <c r="A483" s="1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row>
    <row r="484" spans="1:27" ht="13.8">
      <c r="A484" s="1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row>
    <row r="485" spans="1:27" ht="13.8">
      <c r="A485" s="1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row>
    <row r="486" spans="1:27" ht="13.8">
      <c r="A486" s="1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row>
    <row r="487" spans="1:27" ht="13.8">
      <c r="A487" s="1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row>
    <row r="488" spans="1:27" ht="13.8">
      <c r="A488" s="1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row>
    <row r="489" spans="1:27" ht="13.8">
      <c r="A489" s="1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row>
    <row r="490" spans="1:27" ht="13.8">
      <c r="A490" s="1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row>
    <row r="491" spans="1:27" ht="13.8">
      <c r="A491" s="1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row>
    <row r="492" spans="1:27" ht="13.8">
      <c r="A492" s="1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row>
    <row r="493" spans="1:27" ht="13.8">
      <c r="A493" s="1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row>
    <row r="494" spans="1:27" ht="13.8">
      <c r="A494" s="1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row>
    <row r="495" spans="1:27" ht="13.8">
      <c r="A495" s="1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row>
    <row r="496" spans="1:27" ht="13.8">
      <c r="A496" s="1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row>
    <row r="497" spans="1:27" ht="13.8">
      <c r="A497" s="1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row>
    <row r="498" spans="1:27" ht="13.8">
      <c r="A498" s="1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row>
    <row r="499" spans="1:27" ht="13.8">
      <c r="A499" s="1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row>
    <row r="500" spans="1:27" ht="13.8">
      <c r="A500" s="1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row>
    <row r="501" spans="1:27" ht="13.8">
      <c r="A501" s="1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row>
    <row r="502" spans="1:27" ht="13.8">
      <c r="A502" s="1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row>
    <row r="503" spans="1:27" ht="13.8">
      <c r="A503" s="1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row>
    <row r="504" spans="1:27" ht="13.8">
      <c r="A504" s="1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row>
    <row r="505" spans="1:27" ht="13.8">
      <c r="A505" s="1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row>
    <row r="506" spans="1:27" ht="13.8">
      <c r="A506" s="1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row>
    <row r="507" spans="1:27" ht="13.8">
      <c r="A507" s="1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row>
    <row r="508" spans="1:27" ht="13.8">
      <c r="A508" s="1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row>
    <row r="509" spans="1:27" ht="13.8">
      <c r="A509" s="1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row>
    <row r="510" spans="1:27" ht="13.8">
      <c r="A510" s="1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row>
    <row r="511" spans="1:27" ht="13.8">
      <c r="A511" s="1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row>
    <row r="512" spans="1:27" ht="13.8">
      <c r="A512" s="1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row>
    <row r="513" spans="1:27" ht="13.8">
      <c r="A513" s="1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row>
    <row r="514" spans="1:27" ht="13.8">
      <c r="A514" s="1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row>
    <row r="515" spans="1:27" ht="13.8">
      <c r="A515" s="1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row>
    <row r="516" spans="1:27" ht="13.8">
      <c r="A516" s="1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row>
    <row r="517" spans="1:27" ht="13.8">
      <c r="A517" s="1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row>
    <row r="518" spans="1:27" ht="13.8">
      <c r="A518" s="1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row>
    <row r="519" spans="1:27" ht="13.8">
      <c r="A519" s="1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row>
    <row r="520" spans="1:27" ht="13.8">
      <c r="A520" s="1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row>
    <row r="521" spans="1:27" ht="13.8">
      <c r="A521" s="1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row>
    <row r="522" spans="1:27" ht="13.8">
      <c r="A522" s="1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row>
    <row r="523" spans="1:27" ht="13.8">
      <c r="A523" s="1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row>
    <row r="524" spans="1:27" ht="13.8">
      <c r="A524" s="1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row>
    <row r="525" spans="1:27" ht="13.8">
      <c r="A525" s="1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row>
    <row r="526" spans="1:27" ht="13.8">
      <c r="A526" s="1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row>
    <row r="527" spans="1:27" ht="13.8">
      <c r="A527" s="1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row>
    <row r="528" spans="1:27" ht="13.8">
      <c r="A528" s="1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row>
    <row r="529" spans="1:27" ht="13.8">
      <c r="A529" s="1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row>
    <row r="530" spans="1:27" ht="13.8">
      <c r="A530" s="1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row>
    <row r="531" spans="1:27" ht="13.8">
      <c r="A531" s="1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row>
    <row r="532" spans="1:27" ht="13.8">
      <c r="A532" s="1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row>
    <row r="533" spans="1:27" ht="13.8">
      <c r="A533" s="1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row>
    <row r="534" spans="1:27" ht="13.8">
      <c r="A534" s="1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row>
    <row r="535" spans="1:27" ht="13.8">
      <c r="A535" s="1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row>
    <row r="536" spans="1:27" ht="13.8">
      <c r="A536" s="1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row>
    <row r="537" spans="1:27" ht="13.8">
      <c r="A537" s="1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row>
    <row r="538" spans="1:27" ht="13.8">
      <c r="A538" s="1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row>
    <row r="539" spans="1:27" ht="13.8">
      <c r="A539" s="1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row>
    <row r="540" spans="1:27" ht="13.8">
      <c r="A540" s="1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row>
    <row r="541" spans="1:27" ht="13.8">
      <c r="A541" s="1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row>
    <row r="542" spans="1:27" ht="13.8">
      <c r="A542" s="1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row>
    <row r="543" spans="1:27" ht="13.8">
      <c r="A543" s="1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row>
    <row r="544" spans="1:27" ht="13.8">
      <c r="A544" s="1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row>
    <row r="545" spans="1:27" ht="13.8">
      <c r="A545" s="1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row>
    <row r="546" spans="1:27" ht="13.8">
      <c r="A546" s="1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row>
    <row r="547" spans="1:27" ht="13.8">
      <c r="A547" s="1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row>
    <row r="548" spans="1:27" ht="13.8">
      <c r="A548" s="1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row>
    <row r="549" spans="1:27" ht="13.8">
      <c r="A549" s="1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row>
    <row r="550" spans="1:27" ht="13.8">
      <c r="A550" s="1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row>
    <row r="551" spans="1:27" ht="13.8">
      <c r="A551" s="1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row>
    <row r="552" spans="1:27" ht="13.8">
      <c r="A552" s="1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row>
    <row r="553" spans="1:27" ht="13.8">
      <c r="A553" s="1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row>
    <row r="554" spans="1:27" ht="13.8">
      <c r="A554" s="1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row>
    <row r="555" spans="1:27" ht="13.8">
      <c r="A555" s="1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row>
    <row r="556" spans="1:27" ht="13.8">
      <c r="A556" s="1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row>
    <row r="557" spans="1:27" ht="13.8">
      <c r="A557" s="1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row>
    <row r="558" spans="1:27" ht="13.8">
      <c r="A558" s="1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row>
    <row r="559" spans="1:27" ht="13.8">
      <c r="A559" s="1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row>
    <row r="560" spans="1:27" ht="13.8">
      <c r="A560" s="1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row>
    <row r="561" spans="1:27" ht="13.8">
      <c r="A561" s="1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row>
    <row r="562" spans="1:27" ht="13.8">
      <c r="A562" s="1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row>
    <row r="563" spans="1:27" ht="13.8">
      <c r="A563" s="1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row>
    <row r="564" spans="1:27" ht="13.8">
      <c r="A564" s="1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row>
    <row r="565" spans="1:27" ht="13.8">
      <c r="A565" s="1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row>
    <row r="566" spans="1:27" ht="13.8">
      <c r="A566" s="1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row>
    <row r="567" spans="1:27" ht="13.8">
      <c r="A567" s="1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row>
    <row r="568" spans="1:27" ht="13.8">
      <c r="A568" s="1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row>
    <row r="569" spans="1:27" ht="13.8">
      <c r="A569" s="1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row>
    <row r="570" spans="1:27" ht="13.8">
      <c r="A570" s="1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row>
    <row r="571" spans="1:27" ht="13.8">
      <c r="A571" s="1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row>
    <row r="572" spans="1:27" ht="13.8">
      <c r="A572" s="1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row>
    <row r="573" spans="1:27" ht="13.8">
      <c r="A573" s="1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row>
    <row r="574" spans="1:27" ht="13.8">
      <c r="A574" s="1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row>
    <row r="575" spans="1:27" ht="13.8">
      <c r="A575" s="1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row>
    <row r="576" spans="1:27" ht="13.8">
      <c r="A576" s="1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row>
    <row r="577" spans="1:27" ht="13.8">
      <c r="A577" s="1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row>
    <row r="578" spans="1:27" ht="13.8">
      <c r="A578" s="1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row>
    <row r="579" spans="1:27" ht="13.8">
      <c r="A579" s="1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row>
    <row r="580" spans="1:27" ht="13.8">
      <c r="A580" s="1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row>
    <row r="581" spans="1:27" ht="13.8">
      <c r="A581" s="1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row>
    <row r="582" spans="1:27" ht="13.8">
      <c r="A582" s="1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row>
    <row r="583" spans="1:27" ht="13.8">
      <c r="A583" s="1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row>
    <row r="584" spans="1:27" ht="13.8">
      <c r="A584" s="1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row>
    <row r="585" spans="1:27" ht="13.8">
      <c r="A585" s="1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row>
    <row r="586" spans="1:27" ht="13.8">
      <c r="A586" s="1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row>
    <row r="587" spans="1:27" ht="13.8">
      <c r="A587" s="1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row>
    <row r="588" spans="1:27" ht="13.8">
      <c r="A588" s="1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row>
    <row r="589" spans="1:27" ht="13.8">
      <c r="A589" s="1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row>
    <row r="590" spans="1:27" ht="13.8">
      <c r="A590" s="1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row>
    <row r="591" spans="1:27" ht="13.8">
      <c r="A591" s="1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row>
    <row r="592" spans="1:27" ht="13.8">
      <c r="A592" s="1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row>
    <row r="593" spans="1:27" ht="13.8">
      <c r="A593" s="1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row>
    <row r="594" spans="1:27" ht="13.8">
      <c r="A594" s="1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row>
    <row r="595" spans="1:27" ht="13.8">
      <c r="A595" s="1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row>
    <row r="596" spans="1:27" ht="13.8">
      <c r="A596" s="1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row>
    <row r="597" spans="1:27" ht="13.8">
      <c r="A597" s="1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row>
    <row r="598" spans="1:27" ht="13.8">
      <c r="A598" s="1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row>
    <row r="599" spans="1:27" ht="13.8">
      <c r="A599" s="1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row>
    <row r="600" spans="1:27" ht="13.8">
      <c r="A600" s="1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row>
    <row r="601" spans="1:27" ht="13.8">
      <c r="A601" s="1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row>
    <row r="602" spans="1:27" ht="13.8">
      <c r="A602" s="1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row>
    <row r="603" spans="1:27" ht="13.8">
      <c r="A603" s="1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row>
    <row r="604" spans="1:27" ht="13.8">
      <c r="A604" s="1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row>
    <row r="605" spans="1:27" ht="13.8">
      <c r="A605" s="1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row>
    <row r="606" spans="1:27" ht="13.8">
      <c r="A606" s="1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row>
    <row r="607" spans="1:27" ht="13.8">
      <c r="A607" s="1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row>
    <row r="608" spans="1:27" ht="13.8">
      <c r="A608" s="1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row>
    <row r="609" spans="1:27" ht="13.8">
      <c r="A609" s="1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row>
    <row r="610" spans="1:27" ht="13.8">
      <c r="A610" s="1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row>
    <row r="611" spans="1:27" ht="13.8">
      <c r="A611" s="1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row>
    <row r="612" spans="1:27" ht="13.8">
      <c r="A612" s="1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row>
    <row r="613" spans="1:27" ht="13.8">
      <c r="A613" s="1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row>
    <row r="614" spans="1:27" ht="13.8">
      <c r="A614" s="1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row>
    <row r="615" spans="1:27" ht="13.8">
      <c r="A615" s="1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row>
    <row r="616" spans="1:27" ht="13.8">
      <c r="A616" s="1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row>
    <row r="617" spans="1:27" ht="13.8">
      <c r="A617" s="1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row>
    <row r="618" spans="1:27" ht="13.8">
      <c r="A618" s="1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row>
    <row r="619" spans="1:27" ht="13.8">
      <c r="A619" s="1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row>
    <row r="620" spans="1:27" ht="13.8">
      <c r="A620" s="1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row>
    <row r="621" spans="1:27" ht="13.8">
      <c r="A621" s="1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row>
    <row r="622" spans="1:27" ht="13.8">
      <c r="A622" s="1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row>
    <row r="623" spans="1:27" ht="13.8">
      <c r="A623" s="1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row>
    <row r="624" spans="1:27" ht="13.8">
      <c r="A624" s="1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row>
    <row r="625" spans="1:27" ht="13.8">
      <c r="A625" s="1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row>
    <row r="626" spans="1:27" ht="13.8">
      <c r="A626" s="1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row>
    <row r="627" spans="1:27" ht="13.8">
      <c r="A627" s="1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row>
    <row r="628" spans="1:27" ht="13.8">
      <c r="A628" s="1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row>
    <row r="629" spans="1:27" ht="13.8">
      <c r="A629" s="1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row>
    <row r="630" spans="1:27" ht="13.8">
      <c r="A630" s="1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row>
    <row r="631" spans="1:27" ht="13.8">
      <c r="A631" s="1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row>
    <row r="632" spans="1:27" ht="13.8">
      <c r="A632" s="1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row>
    <row r="633" spans="1:27" ht="13.8">
      <c r="A633" s="1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row>
    <row r="634" spans="1:27" ht="13.8">
      <c r="A634" s="1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row>
    <row r="635" spans="1:27" ht="13.8">
      <c r="A635" s="1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row>
    <row r="636" spans="1:27" ht="13.8">
      <c r="A636" s="1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row>
    <row r="637" spans="1:27" ht="13.8">
      <c r="A637" s="1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row>
    <row r="638" spans="1:27" ht="13.8">
      <c r="A638" s="1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row>
    <row r="639" spans="1:27" ht="13.8">
      <c r="A639" s="1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row>
    <row r="640" spans="1:27" ht="13.8">
      <c r="A640" s="1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row>
    <row r="641" spans="1:27" ht="13.8">
      <c r="A641" s="1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row>
    <row r="642" spans="1:27" ht="13.8">
      <c r="A642" s="1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row>
    <row r="643" spans="1:27" ht="13.8">
      <c r="A643" s="1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row>
    <row r="644" spans="1:27" ht="13.8">
      <c r="A644" s="1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row>
    <row r="645" spans="1:27" ht="13.8">
      <c r="A645" s="1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row>
    <row r="646" spans="1:27" ht="13.8">
      <c r="A646" s="1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row>
    <row r="647" spans="1:27" ht="13.8">
      <c r="A647" s="1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row>
    <row r="648" spans="1:27" ht="13.8">
      <c r="A648" s="1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row>
    <row r="649" spans="1:27" ht="13.8">
      <c r="A649" s="1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row>
    <row r="650" spans="1:27" ht="13.8">
      <c r="A650" s="1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row>
    <row r="651" spans="1:27" ht="13.8">
      <c r="A651" s="1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row>
    <row r="652" spans="1:27" ht="13.8">
      <c r="A652" s="1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row>
    <row r="653" spans="1:27" ht="13.8">
      <c r="A653" s="1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row>
    <row r="654" spans="1:27" ht="13.8">
      <c r="A654" s="1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row>
    <row r="655" spans="1:27" ht="13.8">
      <c r="A655" s="1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row>
    <row r="656" spans="1:27" ht="13.8">
      <c r="A656" s="1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row>
    <row r="657" spans="1:27" ht="13.8">
      <c r="A657" s="1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row>
    <row r="658" spans="1:27" ht="13.8">
      <c r="A658" s="1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row>
    <row r="659" spans="1:27" ht="13.8">
      <c r="A659" s="1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row>
    <row r="660" spans="1:27" ht="13.8">
      <c r="A660" s="1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row>
    <row r="661" spans="1:27" ht="13.8">
      <c r="A661" s="1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row>
    <row r="662" spans="1:27" ht="13.8">
      <c r="A662" s="1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row>
    <row r="663" spans="1:27" ht="13.8">
      <c r="A663" s="1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row>
    <row r="664" spans="1:27" ht="13.8">
      <c r="A664" s="1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row>
    <row r="665" spans="1:27" ht="13.8">
      <c r="A665" s="1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row>
    <row r="666" spans="1:27" ht="13.8">
      <c r="A666" s="1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row>
    <row r="667" spans="1:27" ht="13.8">
      <c r="A667" s="1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row>
    <row r="668" spans="1:27" ht="13.8">
      <c r="A668" s="1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row>
    <row r="669" spans="1:27" ht="13.8">
      <c r="A669" s="1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row>
    <row r="670" spans="1:27" ht="13.8">
      <c r="A670" s="1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row>
    <row r="671" spans="1:27" ht="13.8">
      <c r="A671" s="1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row>
    <row r="672" spans="1:27" ht="13.8">
      <c r="A672" s="1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row>
    <row r="673" spans="1:27" ht="13.8">
      <c r="A673" s="1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row>
    <row r="674" spans="1:27" ht="13.8">
      <c r="A674" s="1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row>
    <row r="675" spans="1:27" ht="13.8">
      <c r="A675" s="1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row>
    <row r="676" spans="1:27" ht="13.8">
      <c r="A676" s="1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row>
    <row r="677" spans="1:27" ht="13.8">
      <c r="A677" s="1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row>
    <row r="678" spans="1:27" ht="13.8">
      <c r="A678" s="1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row>
    <row r="679" spans="1:27" ht="13.8">
      <c r="A679" s="1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row>
    <row r="680" spans="1:27" ht="13.8">
      <c r="A680" s="1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row>
    <row r="681" spans="1:27" ht="13.8">
      <c r="A681" s="1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row>
    <row r="682" spans="1:27" ht="13.8">
      <c r="A682" s="1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row>
    <row r="683" spans="1:27" ht="13.8">
      <c r="A683" s="1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row>
    <row r="684" spans="1:27" ht="13.8">
      <c r="A684" s="1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row>
    <row r="685" spans="1:27" ht="13.8">
      <c r="A685" s="1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row>
    <row r="686" spans="1:27" ht="13.8">
      <c r="A686" s="1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row>
    <row r="687" spans="1:27" ht="13.8">
      <c r="A687" s="1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row>
    <row r="688" spans="1:27" ht="13.8">
      <c r="A688" s="1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row>
    <row r="689" spans="1:27" ht="13.8">
      <c r="A689" s="1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row>
    <row r="690" spans="1:27" ht="13.8">
      <c r="A690" s="1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row>
    <row r="691" spans="1:27" ht="13.8">
      <c r="A691" s="1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row>
    <row r="692" spans="1:27" ht="13.8">
      <c r="A692" s="1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row>
    <row r="693" spans="1:27" ht="13.8">
      <c r="A693" s="1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row>
    <row r="694" spans="1:27" ht="13.8">
      <c r="A694" s="1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row>
    <row r="695" spans="1:27" ht="13.8">
      <c r="A695" s="1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row>
    <row r="696" spans="1:27" ht="13.8">
      <c r="A696" s="1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row>
    <row r="697" spans="1:27" ht="13.8">
      <c r="A697" s="1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row>
    <row r="698" spans="1:27" ht="13.8">
      <c r="A698" s="1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row>
    <row r="699" spans="1:27" ht="13.8">
      <c r="A699" s="1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row>
    <row r="700" spans="1:27" ht="13.8">
      <c r="A700" s="1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row>
    <row r="701" spans="1:27" ht="13.8">
      <c r="A701" s="1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row>
    <row r="702" spans="1:27" ht="13.8">
      <c r="A702" s="1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row>
    <row r="703" spans="1:27" ht="13.8">
      <c r="A703" s="1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row>
    <row r="704" spans="1:27" ht="13.8">
      <c r="A704" s="1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row>
    <row r="705" spans="1:27" ht="13.8">
      <c r="A705" s="1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row>
    <row r="706" spans="1:27" ht="13.8">
      <c r="A706" s="1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row>
    <row r="707" spans="1:27" ht="13.8">
      <c r="A707" s="1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row>
    <row r="708" spans="1:27" ht="13.8">
      <c r="A708" s="1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row>
    <row r="709" spans="1:27" ht="13.8">
      <c r="A709" s="1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row>
    <row r="710" spans="1:27" ht="13.8">
      <c r="A710" s="1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row>
    <row r="711" spans="1:27" ht="13.8">
      <c r="A711" s="1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row>
    <row r="712" spans="1:27" ht="13.8">
      <c r="A712" s="1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row>
    <row r="713" spans="1:27" ht="13.8">
      <c r="A713" s="1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row>
    <row r="714" spans="1:27" ht="13.8">
      <c r="A714" s="1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row>
    <row r="715" spans="1:27" ht="13.8">
      <c r="A715" s="1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row>
    <row r="716" spans="1:27" ht="13.8">
      <c r="A716" s="1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row>
    <row r="717" spans="1:27" ht="13.8">
      <c r="A717" s="1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row>
    <row r="718" spans="1:27" ht="13.8">
      <c r="A718" s="1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row>
    <row r="719" spans="1:27" ht="13.8">
      <c r="A719" s="1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row>
    <row r="720" spans="1:27" ht="13.8">
      <c r="A720" s="1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row>
    <row r="721" spans="1:27" ht="13.8">
      <c r="A721" s="1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row>
    <row r="722" spans="1:27" ht="13.8">
      <c r="A722" s="1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row>
    <row r="723" spans="1:27" ht="13.8">
      <c r="A723" s="1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row>
    <row r="724" spans="1:27" ht="13.8">
      <c r="A724" s="1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row>
    <row r="725" spans="1:27" ht="13.8">
      <c r="A725" s="1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row>
    <row r="726" spans="1:27" ht="13.8">
      <c r="A726" s="1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row>
    <row r="727" spans="1:27" ht="13.8">
      <c r="A727" s="1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row>
    <row r="728" spans="1:27" ht="13.8">
      <c r="A728" s="1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row>
    <row r="729" spans="1:27" ht="13.8">
      <c r="A729" s="1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row>
    <row r="730" spans="1:27" ht="13.8">
      <c r="A730" s="1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row>
    <row r="731" spans="1:27" ht="13.8">
      <c r="A731" s="1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row>
    <row r="732" spans="1:27" ht="13.8">
      <c r="A732" s="1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row>
    <row r="733" spans="1:27" ht="13.8">
      <c r="A733" s="1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row>
    <row r="734" spans="1:27" ht="13.8">
      <c r="A734" s="1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row>
    <row r="735" spans="1:27" ht="13.8">
      <c r="A735" s="1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row>
    <row r="736" spans="1:27" ht="13.8">
      <c r="A736" s="1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row>
    <row r="737" spans="1:27" ht="13.8">
      <c r="A737" s="1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row>
    <row r="738" spans="1:27" ht="13.8">
      <c r="A738" s="1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row>
    <row r="739" spans="1:27" ht="13.8">
      <c r="A739" s="1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row>
    <row r="740" spans="1:27" ht="13.8">
      <c r="A740" s="1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row>
    <row r="741" spans="1:27" ht="13.8">
      <c r="A741" s="1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row>
    <row r="742" spans="1:27" ht="13.8">
      <c r="A742" s="1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row>
    <row r="743" spans="1:27" ht="13.8">
      <c r="A743" s="1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row>
    <row r="744" spans="1:27" ht="13.8">
      <c r="A744" s="1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row>
    <row r="745" spans="1:27" ht="13.8">
      <c r="A745" s="1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row>
    <row r="746" spans="1:27" ht="13.8">
      <c r="A746" s="1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row>
    <row r="747" spans="1:27" ht="13.8">
      <c r="A747" s="1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row>
    <row r="748" spans="1:27" ht="13.8">
      <c r="A748" s="1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row>
    <row r="749" spans="1:27" ht="13.8">
      <c r="A749" s="1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row>
    <row r="750" spans="1:27" ht="13.8">
      <c r="A750" s="1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row>
    <row r="751" spans="1:27" ht="13.8">
      <c r="A751" s="1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row>
    <row r="752" spans="1:27" ht="13.8">
      <c r="A752" s="1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row>
    <row r="753" spans="1:27" ht="13.8">
      <c r="A753" s="1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row>
    <row r="754" spans="1:27" ht="13.8">
      <c r="A754" s="1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row>
    <row r="755" spans="1:27" ht="13.8">
      <c r="A755" s="1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row>
    <row r="756" spans="1:27" ht="13.8">
      <c r="A756" s="1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row>
    <row r="757" spans="1:27" ht="13.8">
      <c r="A757" s="1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row>
    <row r="758" spans="1:27" ht="13.8">
      <c r="A758" s="1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row>
    <row r="759" spans="1:27" ht="13.8">
      <c r="A759" s="1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row>
    <row r="760" spans="1:27" ht="13.8">
      <c r="A760" s="1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row>
    <row r="761" spans="1:27" ht="13.8">
      <c r="A761" s="1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row>
    <row r="762" spans="1:27" ht="13.8">
      <c r="A762" s="1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row>
    <row r="763" spans="1:27" ht="13.8">
      <c r="A763" s="1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row>
    <row r="764" spans="1:27" ht="13.8">
      <c r="A764" s="1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row>
    <row r="765" spans="1:27" ht="13.8">
      <c r="A765" s="1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row>
    <row r="766" spans="1:27" ht="13.8">
      <c r="A766" s="1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row>
    <row r="767" spans="1:27" ht="13.8">
      <c r="A767" s="1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row>
    <row r="768" spans="1:27" ht="13.8">
      <c r="A768" s="1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row>
    <row r="769" spans="1:27" ht="13.8">
      <c r="A769" s="1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row>
    <row r="770" spans="1:27" ht="13.8">
      <c r="A770" s="1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row>
    <row r="771" spans="1:27" ht="13.8">
      <c r="A771" s="1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row>
    <row r="772" spans="1:27" ht="13.8">
      <c r="A772" s="1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row>
    <row r="773" spans="1:27" ht="13.8">
      <c r="A773" s="1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row>
    <row r="774" spans="1:27" ht="13.8">
      <c r="A774" s="1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row>
    <row r="775" spans="1:27" ht="13.8">
      <c r="A775" s="1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row>
    <row r="776" spans="1:27" ht="13.8">
      <c r="A776" s="1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row>
    <row r="777" spans="1:27" ht="13.8">
      <c r="A777" s="1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row>
    <row r="778" spans="1:27" ht="13.8">
      <c r="A778" s="1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row>
    <row r="779" spans="1:27" ht="13.8">
      <c r="A779" s="1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row>
    <row r="780" spans="1:27" ht="13.8">
      <c r="A780" s="1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row>
    <row r="781" spans="1:27" ht="13.8">
      <c r="A781" s="1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row>
    <row r="782" spans="1:27" ht="13.8">
      <c r="A782" s="1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row>
    <row r="783" spans="1:27" ht="13.8">
      <c r="A783" s="1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row>
    <row r="784" spans="1:27" ht="13.8">
      <c r="A784" s="1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row>
    <row r="785" spans="1:27" ht="13.8">
      <c r="A785" s="1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row>
    <row r="786" spans="1:27" ht="13.8">
      <c r="A786" s="1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row>
    <row r="787" spans="1:27" ht="13.8">
      <c r="A787" s="1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row>
    <row r="788" spans="1:27" ht="13.8">
      <c r="A788" s="1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row>
    <row r="789" spans="1:27" ht="13.8">
      <c r="A789" s="1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row>
    <row r="790" spans="1:27" ht="13.8">
      <c r="A790" s="1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row>
    <row r="791" spans="1:27" ht="13.8">
      <c r="A791" s="1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row>
    <row r="792" spans="1:27" ht="13.8">
      <c r="A792" s="1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row>
    <row r="793" spans="1:27" ht="13.8">
      <c r="A793" s="1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row>
    <row r="794" spans="1:27" ht="13.8">
      <c r="A794" s="1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row>
    <row r="795" spans="1:27" ht="13.8">
      <c r="A795" s="1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row>
    <row r="796" spans="1:27" ht="13.8">
      <c r="A796" s="1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row>
    <row r="797" spans="1:27" ht="13.8">
      <c r="A797" s="1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row>
    <row r="798" spans="1:27" ht="13.8">
      <c r="A798" s="1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row>
    <row r="799" spans="1:27" ht="13.8">
      <c r="A799" s="1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row>
    <row r="800" spans="1:27" ht="13.8">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row>
    <row r="801" spans="2:27" ht="13.8">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row>
    <row r="802" spans="2:27" ht="13.8">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row>
    <row r="803" spans="2:27" ht="13.8">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row>
    <row r="804" spans="2:27" ht="13.8">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row>
    <row r="805" spans="2:27" ht="13.8">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row>
    <row r="806" spans="2:27" ht="13.8">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row>
    <row r="807" spans="2:27" ht="13.8">
      <c r="I807" s="123"/>
      <c r="J807" s="123"/>
      <c r="K807" s="123"/>
      <c r="L807" s="123"/>
      <c r="M807" s="123"/>
      <c r="N807" s="123"/>
      <c r="O807" s="123"/>
      <c r="P807" s="123"/>
      <c r="Q807" s="123"/>
      <c r="R807" s="123"/>
      <c r="S807" s="123"/>
      <c r="T807" s="123"/>
      <c r="U807" s="123"/>
      <c r="V807" s="123"/>
      <c r="W807" s="123"/>
      <c r="X807" s="123"/>
      <c r="Y807" s="123"/>
      <c r="Z807" s="123"/>
      <c r="AA807" s="123"/>
    </row>
    <row r="808" spans="2:27" ht="13.8">
      <c r="I808" s="123"/>
      <c r="J808" s="123"/>
      <c r="K808" s="123"/>
      <c r="L808" s="123"/>
      <c r="M808" s="123"/>
      <c r="N808" s="123"/>
      <c r="O808" s="123"/>
      <c r="P808" s="123"/>
      <c r="Q808" s="123"/>
      <c r="R808" s="123"/>
      <c r="S808" s="123"/>
      <c r="T808" s="123"/>
      <c r="U808" s="123"/>
      <c r="V808" s="123"/>
      <c r="W808" s="123"/>
      <c r="X808" s="123"/>
      <c r="Y808" s="123"/>
      <c r="Z808" s="123"/>
      <c r="AA808" s="123"/>
    </row>
    <row r="809" spans="2:27" ht="13.8">
      <c r="I809" s="123"/>
      <c r="J809" s="123"/>
      <c r="K809" s="123"/>
      <c r="L809" s="123"/>
      <c r="M809" s="123"/>
      <c r="N809" s="123"/>
      <c r="O809" s="123"/>
      <c r="P809" s="123"/>
      <c r="Q809" s="123"/>
      <c r="R809" s="123"/>
      <c r="S809" s="123"/>
      <c r="T809" s="123"/>
      <c r="U809" s="123"/>
      <c r="V809" s="123"/>
      <c r="W809" s="123"/>
      <c r="X809" s="123"/>
      <c r="Y809" s="123"/>
      <c r="Z809" s="123"/>
      <c r="AA809" s="123"/>
    </row>
    <row r="810" spans="2:27" ht="13.8">
      <c r="I810" s="123"/>
      <c r="J810" s="123"/>
      <c r="K810" s="123"/>
      <c r="L810" s="123"/>
      <c r="M810" s="123"/>
      <c r="N810" s="123"/>
      <c r="O810" s="123"/>
      <c r="P810" s="123"/>
      <c r="Q810" s="123"/>
      <c r="R810" s="123"/>
      <c r="S810" s="123"/>
      <c r="T810" s="123"/>
      <c r="U810" s="123"/>
      <c r="V810" s="123"/>
      <c r="W810" s="123"/>
      <c r="X810" s="123"/>
      <c r="Y810" s="123"/>
      <c r="Z810" s="123"/>
      <c r="AA810" s="123"/>
    </row>
    <row r="811" spans="2:27" ht="13.8">
      <c r="I811" s="123"/>
      <c r="J811" s="123"/>
      <c r="K811" s="123"/>
      <c r="L811" s="123"/>
      <c r="M811" s="123"/>
      <c r="N811" s="123"/>
      <c r="O811" s="123"/>
      <c r="P811" s="123"/>
      <c r="Q811" s="123"/>
      <c r="R811" s="123"/>
      <c r="S811" s="123"/>
      <c r="T811" s="123"/>
      <c r="U811" s="123"/>
      <c r="V811" s="123"/>
      <c r="W811" s="123"/>
      <c r="X811" s="123"/>
      <c r="Y811" s="123"/>
      <c r="Z811" s="123"/>
      <c r="AA811" s="123"/>
    </row>
    <row r="812" spans="2:27" ht="13.8">
      <c r="I812" s="123"/>
      <c r="J812" s="123"/>
      <c r="K812" s="123"/>
      <c r="L812" s="123"/>
      <c r="M812" s="123"/>
      <c r="N812" s="123"/>
      <c r="O812" s="123"/>
      <c r="P812" s="123"/>
      <c r="Q812" s="123"/>
      <c r="R812" s="123"/>
      <c r="S812" s="123"/>
      <c r="T812" s="123"/>
      <c r="U812" s="123"/>
      <c r="V812" s="123"/>
      <c r="W812" s="123"/>
      <c r="X812" s="123"/>
      <c r="Y812" s="123"/>
      <c r="Z812" s="123"/>
      <c r="AA812" s="123"/>
    </row>
    <row r="813" spans="2:27" ht="13.8">
      <c r="I813" s="123"/>
      <c r="J813" s="123"/>
      <c r="K813" s="123"/>
      <c r="L813" s="123"/>
      <c r="M813" s="123"/>
      <c r="N813" s="123"/>
      <c r="O813" s="123"/>
      <c r="P813" s="123"/>
      <c r="Q813" s="123"/>
      <c r="R813" s="123"/>
      <c r="S813" s="123"/>
      <c r="T813" s="123"/>
      <c r="U813" s="123"/>
      <c r="V813" s="123"/>
      <c r="W813" s="123"/>
      <c r="X813" s="123"/>
      <c r="Y813" s="123"/>
      <c r="Z813" s="123"/>
      <c r="AA813" s="123"/>
    </row>
    <row r="814" spans="2:27" ht="13.8">
      <c r="I814" s="123"/>
      <c r="J814" s="123"/>
      <c r="K814" s="123"/>
      <c r="L814" s="123"/>
      <c r="M814" s="123"/>
      <c r="N814" s="123"/>
      <c r="O814" s="123"/>
      <c r="P814" s="123"/>
      <c r="Q814" s="123"/>
      <c r="R814" s="123"/>
      <c r="S814" s="123"/>
      <c r="T814" s="123"/>
      <c r="U814" s="123"/>
      <c r="V814" s="123"/>
      <c r="W814" s="123"/>
      <c r="X814" s="123"/>
      <c r="Y814" s="123"/>
      <c r="Z814" s="123"/>
      <c r="AA814" s="123"/>
    </row>
    <row r="815" spans="2:27" ht="13.8">
      <c r="I815" s="123"/>
      <c r="J815" s="123"/>
      <c r="K815" s="123"/>
      <c r="L815" s="123"/>
      <c r="M815" s="123"/>
      <c r="N815" s="123"/>
      <c r="O815" s="123"/>
      <c r="P815" s="123"/>
      <c r="Q815" s="123"/>
      <c r="R815" s="123"/>
      <c r="S815" s="123"/>
      <c r="T815" s="123"/>
      <c r="U815" s="123"/>
      <c r="V815" s="123"/>
      <c r="W815" s="123"/>
      <c r="X815" s="123"/>
      <c r="Y815" s="123"/>
      <c r="Z815" s="123"/>
      <c r="AA815" s="123"/>
    </row>
    <row r="816" spans="2:27" ht="13.8">
      <c r="I816" s="123"/>
      <c r="J816" s="123"/>
      <c r="K816" s="123"/>
      <c r="L816" s="123"/>
      <c r="M816" s="123"/>
      <c r="N816" s="123"/>
      <c r="O816" s="123"/>
      <c r="P816" s="123"/>
      <c r="Q816" s="123"/>
      <c r="R816" s="123"/>
      <c r="S816" s="123"/>
      <c r="T816" s="123"/>
      <c r="U816" s="123"/>
      <c r="V816" s="123"/>
      <c r="W816" s="123"/>
      <c r="X816" s="123"/>
      <c r="Y816" s="123"/>
      <c r="Z816" s="123"/>
      <c r="AA816" s="123"/>
    </row>
    <row r="817" spans="9:27" ht="13.8">
      <c r="I817" s="123"/>
      <c r="J817" s="123"/>
      <c r="K817" s="123"/>
      <c r="L817" s="123"/>
      <c r="M817" s="123"/>
      <c r="N817" s="123"/>
      <c r="O817" s="123"/>
      <c r="P817" s="123"/>
      <c r="Q817" s="123"/>
      <c r="R817" s="123"/>
      <c r="S817" s="123"/>
      <c r="T817" s="123"/>
      <c r="U817" s="123"/>
      <c r="V817" s="123"/>
      <c r="W817" s="123"/>
      <c r="X817" s="123"/>
      <c r="Y817" s="123"/>
      <c r="Z817" s="123"/>
      <c r="AA817" s="123"/>
    </row>
    <row r="818" spans="9:27" ht="13.8">
      <c r="I818" s="123"/>
      <c r="J818" s="123"/>
      <c r="K818" s="123"/>
      <c r="L818" s="123"/>
      <c r="M818" s="123"/>
      <c r="N818" s="123"/>
      <c r="O818" s="123"/>
      <c r="P818" s="123"/>
      <c r="Q818" s="123"/>
      <c r="R818" s="123"/>
      <c r="S818" s="123"/>
      <c r="T818" s="123"/>
      <c r="U818" s="123"/>
      <c r="V818" s="123"/>
      <c r="W818" s="123"/>
      <c r="X818" s="123"/>
      <c r="Y818" s="123"/>
      <c r="Z818" s="123"/>
      <c r="AA818" s="123"/>
    </row>
    <row r="819" spans="9:27" ht="13.8">
      <c r="I819" s="123"/>
      <c r="J819" s="123"/>
      <c r="K819" s="123"/>
      <c r="L819" s="123"/>
      <c r="M819" s="123"/>
      <c r="N819" s="123"/>
      <c r="O819" s="123"/>
      <c r="P819" s="123"/>
      <c r="Q819" s="123"/>
      <c r="R819" s="123"/>
      <c r="S819" s="123"/>
      <c r="T819" s="123"/>
      <c r="U819" s="123"/>
      <c r="V819" s="123"/>
      <c r="W819" s="123"/>
      <c r="X819" s="123"/>
      <c r="Y819" s="123"/>
      <c r="Z819" s="123"/>
      <c r="AA819" s="123"/>
    </row>
    <row r="820" spans="9:27" ht="13.8">
      <c r="I820" s="123"/>
      <c r="J820" s="123"/>
      <c r="K820" s="123"/>
      <c r="L820" s="123"/>
      <c r="M820" s="123"/>
      <c r="N820" s="123"/>
      <c r="O820" s="123"/>
      <c r="P820" s="123"/>
      <c r="Q820" s="123"/>
      <c r="R820" s="123"/>
      <c r="S820" s="123"/>
      <c r="T820" s="123"/>
      <c r="U820" s="123"/>
      <c r="V820" s="123"/>
      <c r="W820" s="123"/>
      <c r="X820" s="123"/>
      <c r="Y820" s="123"/>
      <c r="Z820" s="123"/>
      <c r="AA820" s="123"/>
    </row>
    <row r="821" spans="9:27" ht="13.8">
      <c r="I821" s="123"/>
      <c r="J821" s="123"/>
      <c r="K821" s="123"/>
      <c r="L821" s="123"/>
      <c r="M821" s="123"/>
      <c r="N821" s="123"/>
      <c r="O821" s="123"/>
      <c r="P821" s="123"/>
      <c r="Q821" s="123"/>
      <c r="R821" s="123"/>
      <c r="S821" s="123"/>
      <c r="T821" s="123"/>
      <c r="U821" s="123"/>
      <c r="V821" s="123"/>
      <c r="W821" s="123"/>
      <c r="X821" s="123"/>
      <c r="Y821" s="123"/>
      <c r="Z821" s="123"/>
      <c r="AA821" s="123"/>
    </row>
    <row r="822" spans="9:27" ht="13.8">
      <c r="I822" s="123"/>
      <c r="J822" s="123"/>
      <c r="K822" s="123"/>
      <c r="L822" s="123"/>
      <c r="M822" s="123"/>
      <c r="N822" s="123"/>
      <c r="O822" s="123"/>
      <c r="P822" s="123"/>
      <c r="Q822" s="123"/>
      <c r="R822" s="123"/>
      <c r="S822" s="123"/>
      <c r="T822" s="123"/>
      <c r="U822" s="123"/>
      <c r="V822" s="123"/>
      <c r="W822" s="123"/>
      <c r="X822" s="123"/>
      <c r="Y822" s="123"/>
      <c r="Z822" s="123"/>
      <c r="AA822" s="123"/>
    </row>
    <row r="823" spans="9:27" ht="13.8">
      <c r="I823" s="123"/>
      <c r="J823" s="123"/>
      <c r="K823" s="123"/>
      <c r="L823" s="123"/>
      <c r="M823" s="123"/>
      <c r="N823" s="123"/>
      <c r="O823" s="123"/>
      <c r="P823" s="123"/>
      <c r="Q823" s="123"/>
      <c r="R823" s="123"/>
      <c r="S823" s="123"/>
      <c r="T823" s="123"/>
      <c r="U823" s="123"/>
      <c r="V823" s="123"/>
      <c r="W823" s="123"/>
      <c r="X823" s="123"/>
      <c r="Y823" s="123"/>
      <c r="Z823" s="123"/>
      <c r="AA823" s="123"/>
    </row>
    <row r="824" spans="9:27" ht="13.8">
      <c r="I824" s="123"/>
      <c r="J824" s="123"/>
      <c r="K824" s="123"/>
      <c r="L824" s="123"/>
      <c r="M824" s="123"/>
      <c r="N824" s="123"/>
      <c r="O824" s="123"/>
      <c r="P824" s="123"/>
      <c r="Q824" s="123"/>
      <c r="R824" s="123"/>
      <c r="S824" s="123"/>
      <c r="T824" s="123"/>
      <c r="U824" s="123"/>
      <c r="V824" s="123"/>
      <c r="W824" s="123"/>
      <c r="X824" s="123"/>
      <c r="Y824" s="123"/>
      <c r="Z824" s="123"/>
      <c r="AA824" s="123"/>
    </row>
    <row r="825" spans="9:27" ht="13.8">
      <c r="I825" s="123"/>
      <c r="J825" s="123"/>
      <c r="K825" s="123"/>
      <c r="L825" s="123"/>
      <c r="M825" s="123"/>
      <c r="N825" s="123"/>
      <c r="O825" s="123"/>
      <c r="P825" s="123"/>
      <c r="Q825" s="123"/>
      <c r="R825" s="123"/>
      <c r="S825" s="123"/>
      <c r="T825" s="123"/>
      <c r="U825" s="123"/>
      <c r="V825" s="123"/>
      <c r="W825" s="123"/>
      <c r="X825" s="123"/>
      <c r="Y825" s="123"/>
      <c r="Z825" s="123"/>
      <c r="AA825" s="123"/>
    </row>
    <row r="826" spans="9:27" ht="13.8">
      <c r="I826" s="123"/>
      <c r="J826" s="123"/>
      <c r="K826" s="123"/>
      <c r="L826" s="123"/>
      <c r="M826" s="123"/>
      <c r="N826" s="123"/>
      <c r="O826" s="123"/>
      <c r="P826" s="123"/>
      <c r="Q826" s="123"/>
      <c r="R826" s="123"/>
      <c r="S826" s="123"/>
      <c r="T826" s="123"/>
      <c r="U826" s="123"/>
      <c r="V826" s="123"/>
      <c r="W826" s="123"/>
      <c r="X826" s="123"/>
      <c r="Y826" s="123"/>
      <c r="Z826" s="123"/>
      <c r="AA826" s="123"/>
    </row>
    <row r="827" spans="9:27" ht="13.8">
      <c r="I827" s="123"/>
      <c r="J827" s="123"/>
      <c r="K827" s="123"/>
      <c r="L827" s="123"/>
      <c r="M827" s="123"/>
      <c r="N827" s="123"/>
      <c r="O827" s="123"/>
      <c r="P827" s="123"/>
      <c r="Q827" s="123"/>
      <c r="R827" s="123"/>
      <c r="S827" s="123"/>
      <c r="T827" s="123"/>
      <c r="U827" s="123"/>
      <c r="V827" s="123"/>
      <c r="W827" s="123"/>
      <c r="X827" s="123"/>
      <c r="Y827" s="123"/>
      <c r="Z827" s="123"/>
      <c r="AA827" s="123"/>
    </row>
    <row r="828" spans="9:27" ht="13.8">
      <c r="I828" s="123"/>
      <c r="J828" s="123"/>
      <c r="K828" s="123"/>
      <c r="L828" s="123"/>
      <c r="M828" s="123"/>
      <c r="N828" s="123"/>
      <c r="O828" s="123"/>
      <c r="P828" s="123"/>
      <c r="Q828" s="123"/>
      <c r="R828" s="123"/>
      <c r="S828" s="123"/>
      <c r="T828" s="123"/>
      <c r="U828" s="123"/>
      <c r="V828" s="123"/>
      <c r="W828" s="123"/>
      <c r="X828" s="123"/>
      <c r="Y828" s="123"/>
      <c r="Z828" s="123"/>
      <c r="AA828" s="123"/>
    </row>
    <row r="829" spans="9:27" ht="13.8">
      <c r="I829" s="123"/>
      <c r="J829" s="123"/>
      <c r="K829" s="123"/>
      <c r="L829" s="123"/>
      <c r="M829" s="123"/>
      <c r="N829" s="123"/>
      <c r="O829" s="123"/>
      <c r="P829" s="123"/>
      <c r="Q829" s="123"/>
      <c r="R829" s="123"/>
      <c r="S829" s="123"/>
      <c r="T829" s="123"/>
      <c r="U829" s="123"/>
      <c r="V829" s="123"/>
      <c r="W829" s="123"/>
      <c r="X829" s="123"/>
      <c r="Y829" s="123"/>
      <c r="Z829" s="123"/>
      <c r="AA829" s="123"/>
    </row>
    <row r="830" spans="9:27" ht="13.8">
      <c r="I830" s="123"/>
      <c r="J830" s="123"/>
      <c r="K830" s="123"/>
      <c r="L830" s="123"/>
      <c r="M830" s="123"/>
      <c r="N830" s="123"/>
      <c r="O830" s="123"/>
      <c r="P830" s="123"/>
      <c r="Q830" s="123"/>
      <c r="R830" s="123"/>
      <c r="S830" s="123"/>
      <c r="T830" s="123"/>
      <c r="U830" s="123"/>
      <c r="V830" s="123"/>
      <c r="W830" s="123"/>
      <c r="X830" s="123"/>
      <c r="Y830" s="123"/>
      <c r="Z830" s="123"/>
      <c r="AA830" s="123"/>
    </row>
    <row r="831" spans="9:27" ht="13.8">
      <c r="I831" s="123"/>
      <c r="J831" s="123"/>
      <c r="K831" s="123"/>
      <c r="L831" s="123"/>
      <c r="M831" s="123"/>
      <c r="N831" s="123"/>
      <c r="O831" s="123"/>
      <c r="P831" s="123"/>
      <c r="Q831" s="123"/>
      <c r="R831" s="123"/>
      <c r="S831" s="123"/>
      <c r="T831" s="123"/>
      <c r="U831" s="123"/>
      <c r="V831" s="123"/>
      <c r="W831" s="123"/>
      <c r="X831" s="123"/>
      <c r="Y831" s="123"/>
      <c r="Z831" s="123"/>
      <c r="AA831" s="123"/>
    </row>
    <row r="832" spans="9:27" ht="13.8">
      <c r="I832" s="123"/>
      <c r="J832" s="123"/>
      <c r="K832" s="123"/>
      <c r="L832" s="123"/>
      <c r="M832" s="123"/>
      <c r="N832" s="123"/>
      <c r="O832" s="123"/>
      <c r="P832" s="123"/>
      <c r="Q832" s="123"/>
      <c r="R832" s="123"/>
      <c r="S832" s="123"/>
      <c r="T832" s="123"/>
      <c r="U832" s="123"/>
      <c r="V832" s="123"/>
      <c r="W832" s="123"/>
      <c r="X832" s="123"/>
      <c r="Y832" s="123"/>
      <c r="Z832" s="123"/>
      <c r="AA832" s="123"/>
    </row>
    <row r="833" spans="9:27" ht="13.8">
      <c r="I833" s="123"/>
      <c r="J833" s="123"/>
      <c r="K833" s="123"/>
      <c r="L833" s="123"/>
      <c r="M833" s="123"/>
      <c r="N833" s="123"/>
      <c r="O833" s="123"/>
      <c r="P833" s="123"/>
      <c r="Q833" s="123"/>
      <c r="R833" s="123"/>
      <c r="S833" s="123"/>
      <c r="T833" s="123"/>
      <c r="U833" s="123"/>
      <c r="V833" s="123"/>
      <c r="W833" s="123"/>
      <c r="X833" s="123"/>
      <c r="Y833" s="123"/>
      <c r="Z833" s="123"/>
      <c r="AA833" s="123"/>
    </row>
    <row r="834" spans="9:27" ht="13.8">
      <c r="I834" s="123"/>
      <c r="J834" s="123"/>
      <c r="K834" s="123"/>
      <c r="L834" s="123"/>
      <c r="M834" s="123"/>
      <c r="N834" s="123"/>
      <c r="O834" s="123"/>
      <c r="P834" s="123"/>
      <c r="Q834" s="123"/>
      <c r="R834" s="123"/>
      <c r="S834" s="123"/>
      <c r="T834" s="123"/>
      <c r="U834" s="123"/>
      <c r="V834" s="123"/>
      <c r="W834" s="123"/>
      <c r="X834" s="123"/>
      <c r="Y834" s="123"/>
      <c r="Z834" s="123"/>
      <c r="AA834" s="123"/>
    </row>
    <row r="835" spans="9:27" ht="13.8">
      <c r="I835" s="123"/>
      <c r="J835" s="123"/>
      <c r="K835" s="123"/>
      <c r="L835" s="123"/>
      <c r="M835" s="123"/>
      <c r="N835" s="123"/>
      <c r="O835" s="123"/>
      <c r="P835" s="123"/>
      <c r="Q835" s="123"/>
      <c r="R835" s="123"/>
      <c r="S835" s="123"/>
      <c r="T835" s="123"/>
      <c r="U835" s="123"/>
      <c r="V835" s="123"/>
      <c r="W835" s="123"/>
      <c r="X835" s="123"/>
      <c r="Y835" s="123"/>
      <c r="Z835" s="123"/>
      <c r="AA835" s="123"/>
    </row>
    <row r="836" spans="9:27" ht="13.8">
      <c r="I836" s="123"/>
      <c r="J836" s="123"/>
      <c r="K836" s="123"/>
      <c r="L836" s="123"/>
      <c r="M836" s="123"/>
      <c r="N836" s="123"/>
      <c r="O836" s="123"/>
      <c r="P836" s="123"/>
      <c r="Q836" s="123"/>
      <c r="R836" s="123"/>
      <c r="S836" s="123"/>
      <c r="T836" s="123"/>
      <c r="U836" s="123"/>
      <c r="V836" s="123"/>
      <c r="W836" s="123"/>
      <c r="X836" s="123"/>
      <c r="Y836" s="123"/>
      <c r="Z836" s="123"/>
      <c r="AA836" s="123"/>
    </row>
    <row r="837" spans="9:27" ht="13.8">
      <c r="I837" s="123"/>
      <c r="J837" s="123"/>
      <c r="K837" s="123"/>
      <c r="L837" s="123"/>
      <c r="M837" s="123"/>
      <c r="N837" s="123"/>
      <c r="O837" s="123"/>
      <c r="P837" s="123"/>
      <c r="Q837" s="123"/>
      <c r="R837" s="123"/>
      <c r="S837" s="123"/>
      <c r="T837" s="123"/>
      <c r="U837" s="123"/>
      <c r="V837" s="123"/>
      <c r="W837" s="123"/>
      <c r="X837" s="123"/>
      <c r="Y837" s="123"/>
      <c r="Z837" s="123"/>
      <c r="AA837" s="123"/>
    </row>
    <row r="838" spans="9:27" ht="13.8">
      <c r="I838" s="123"/>
      <c r="J838" s="123"/>
      <c r="K838" s="123"/>
      <c r="L838" s="123"/>
      <c r="M838" s="123"/>
      <c r="N838" s="123"/>
      <c r="O838" s="123"/>
      <c r="P838" s="123"/>
      <c r="Q838" s="123"/>
      <c r="R838" s="123"/>
      <c r="S838" s="123"/>
      <c r="T838" s="123"/>
      <c r="U838" s="123"/>
      <c r="V838" s="123"/>
      <c r="W838" s="123"/>
      <c r="X838" s="123"/>
      <c r="Y838" s="123"/>
      <c r="Z838" s="123"/>
      <c r="AA838" s="123"/>
    </row>
    <row r="839" spans="9:27" ht="13.8">
      <c r="I839" s="123"/>
      <c r="J839" s="123"/>
      <c r="K839" s="123"/>
      <c r="L839" s="123"/>
      <c r="M839" s="123"/>
      <c r="N839" s="123"/>
      <c r="O839" s="123"/>
      <c r="P839" s="123"/>
      <c r="Q839" s="123"/>
      <c r="R839" s="123"/>
      <c r="S839" s="123"/>
      <c r="T839" s="123"/>
      <c r="U839" s="123"/>
      <c r="V839" s="123"/>
      <c r="W839" s="123"/>
      <c r="X839" s="123"/>
      <c r="Y839" s="123"/>
      <c r="Z839" s="123"/>
      <c r="AA839" s="123"/>
    </row>
    <row r="840" spans="9:27" ht="13.8">
      <c r="I840" s="123"/>
      <c r="J840" s="123"/>
      <c r="K840" s="123"/>
      <c r="L840" s="123"/>
      <c r="M840" s="123"/>
      <c r="N840" s="123"/>
      <c r="O840" s="123"/>
      <c r="P840" s="123"/>
      <c r="Q840" s="123"/>
      <c r="R840" s="123"/>
      <c r="S840" s="123"/>
      <c r="T840" s="123"/>
      <c r="U840" s="123"/>
      <c r="V840" s="123"/>
      <c r="W840" s="123"/>
      <c r="X840" s="123"/>
      <c r="Y840" s="123"/>
      <c r="Z840" s="123"/>
      <c r="AA840" s="123"/>
    </row>
    <row r="841" spans="9:27" ht="13.8">
      <c r="I841" s="123"/>
      <c r="J841" s="123"/>
      <c r="K841" s="123"/>
      <c r="L841" s="123"/>
      <c r="M841" s="123"/>
      <c r="N841" s="123"/>
      <c r="O841" s="123"/>
      <c r="P841" s="123"/>
      <c r="Q841" s="123"/>
      <c r="R841" s="123"/>
      <c r="S841" s="123"/>
      <c r="T841" s="123"/>
      <c r="U841" s="123"/>
      <c r="V841" s="123"/>
      <c r="W841" s="123"/>
      <c r="X841" s="123"/>
      <c r="Y841" s="123"/>
      <c r="Z841" s="123"/>
      <c r="AA841" s="123"/>
    </row>
    <row r="842" spans="9:27" ht="13.8">
      <c r="I842" s="123"/>
      <c r="J842" s="123"/>
      <c r="K842" s="123"/>
      <c r="L842" s="123"/>
      <c r="M842" s="123"/>
      <c r="N842" s="123"/>
      <c r="O842" s="123"/>
      <c r="P842" s="123"/>
      <c r="Q842" s="123"/>
      <c r="R842" s="123"/>
      <c r="S842" s="123"/>
      <c r="T842" s="123"/>
      <c r="U842" s="123"/>
      <c r="V842" s="123"/>
      <c r="W842" s="123"/>
      <c r="X842" s="123"/>
      <c r="Y842" s="123"/>
      <c r="Z842" s="123"/>
      <c r="AA842" s="123"/>
    </row>
    <row r="843" spans="9:27" ht="13.8">
      <c r="I843" s="123"/>
      <c r="J843" s="123"/>
      <c r="K843" s="123"/>
      <c r="L843" s="123"/>
      <c r="M843" s="123"/>
      <c r="N843" s="123"/>
      <c r="O843" s="123"/>
      <c r="P843" s="123"/>
      <c r="Q843" s="123"/>
      <c r="R843" s="123"/>
      <c r="S843" s="123"/>
      <c r="T843" s="123"/>
      <c r="U843" s="123"/>
      <c r="V843" s="123"/>
      <c r="W843" s="123"/>
      <c r="X843" s="123"/>
      <c r="Y843" s="123"/>
      <c r="Z843" s="123"/>
      <c r="AA843" s="123"/>
    </row>
    <row r="844" spans="9:27" ht="13.8">
      <c r="I844" s="123"/>
      <c r="J844" s="123"/>
      <c r="K844" s="123"/>
      <c r="L844" s="123"/>
      <c r="M844" s="123"/>
      <c r="N844" s="123"/>
      <c r="O844" s="123"/>
      <c r="P844" s="123"/>
      <c r="Q844" s="123"/>
      <c r="R844" s="123"/>
      <c r="S844" s="123"/>
      <c r="T844" s="123"/>
      <c r="U844" s="123"/>
      <c r="V844" s="123"/>
      <c r="W844" s="123"/>
      <c r="X844" s="123"/>
      <c r="Y844" s="123"/>
      <c r="Z844" s="123"/>
      <c r="AA844" s="123"/>
    </row>
    <row r="845" spans="9:27" ht="13.8">
      <c r="I845" s="123"/>
      <c r="J845" s="123"/>
      <c r="K845" s="123"/>
      <c r="L845" s="123"/>
      <c r="M845" s="123"/>
      <c r="N845" s="123"/>
      <c r="O845" s="123"/>
      <c r="P845" s="123"/>
      <c r="Q845" s="123"/>
      <c r="R845" s="123"/>
      <c r="S845" s="123"/>
      <c r="T845" s="123"/>
      <c r="U845" s="123"/>
      <c r="V845" s="123"/>
      <c r="W845" s="123"/>
      <c r="X845" s="123"/>
      <c r="Y845" s="123"/>
      <c r="Z845" s="123"/>
      <c r="AA845" s="123"/>
    </row>
    <row r="846" spans="9:27" ht="13.8">
      <c r="I846" s="123"/>
      <c r="J846" s="123"/>
      <c r="K846" s="123"/>
      <c r="L846" s="123"/>
      <c r="M846" s="123"/>
      <c r="N846" s="123"/>
      <c r="O846" s="123"/>
      <c r="P846" s="123"/>
      <c r="Q846" s="123"/>
      <c r="R846" s="123"/>
      <c r="S846" s="123"/>
      <c r="T846" s="123"/>
      <c r="U846" s="123"/>
      <c r="V846" s="123"/>
      <c r="W846" s="123"/>
      <c r="X846" s="123"/>
      <c r="Y846" s="123"/>
      <c r="Z846" s="123"/>
      <c r="AA846" s="123"/>
    </row>
    <row r="847" spans="9:27" ht="13.8">
      <c r="I847" s="123"/>
      <c r="J847" s="123"/>
      <c r="K847" s="123"/>
      <c r="L847" s="123"/>
      <c r="M847" s="123"/>
      <c r="N847" s="123"/>
      <c r="O847" s="123"/>
      <c r="P847" s="123"/>
      <c r="Q847" s="123"/>
      <c r="R847" s="123"/>
      <c r="S847" s="123"/>
      <c r="T847" s="123"/>
      <c r="U847" s="123"/>
      <c r="V847" s="123"/>
      <c r="W847" s="123"/>
      <c r="X847" s="123"/>
      <c r="Y847" s="123"/>
      <c r="Z847" s="123"/>
      <c r="AA847" s="123"/>
    </row>
    <row r="848" spans="9:27" ht="13.8">
      <c r="I848" s="123"/>
      <c r="J848" s="123"/>
      <c r="K848" s="123"/>
      <c r="L848" s="123"/>
      <c r="M848" s="123"/>
      <c r="N848" s="123"/>
      <c r="O848" s="123"/>
      <c r="P848" s="123"/>
      <c r="Q848" s="123"/>
      <c r="R848" s="123"/>
      <c r="S848" s="123"/>
      <c r="T848" s="123"/>
      <c r="U848" s="123"/>
      <c r="V848" s="123"/>
      <c r="W848" s="123"/>
      <c r="X848" s="123"/>
      <c r="Y848" s="123"/>
      <c r="Z848" s="123"/>
      <c r="AA848" s="123"/>
    </row>
    <row r="849" spans="9:27" ht="13.8">
      <c r="I849" s="123"/>
      <c r="J849" s="123"/>
      <c r="K849" s="123"/>
      <c r="L849" s="123"/>
      <c r="M849" s="123"/>
      <c r="N849" s="123"/>
      <c r="O849" s="123"/>
      <c r="P849" s="123"/>
      <c r="Q849" s="123"/>
      <c r="R849" s="123"/>
      <c r="S849" s="123"/>
      <c r="T849" s="123"/>
      <c r="U849" s="123"/>
      <c r="V849" s="123"/>
      <c r="W849" s="123"/>
      <c r="X849" s="123"/>
      <c r="Y849" s="123"/>
      <c r="Z849" s="123"/>
      <c r="AA849" s="123"/>
    </row>
    <row r="850" spans="9:27" ht="13.8">
      <c r="I850" s="123"/>
      <c r="J850" s="123"/>
      <c r="K850" s="123"/>
      <c r="L850" s="123"/>
      <c r="M850" s="123"/>
      <c r="N850" s="123"/>
      <c r="O850" s="123"/>
      <c r="P850" s="123"/>
      <c r="Q850" s="123"/>
      <c r="R850" s="123"/>
      <c r="S850" s="123"/>
      <c r="T850" s="123"/>
      <c r="U850" s="123"/>
      <c r="V850" s="123"/>
      <c r="W850" s="123"/>
      <c r="X850" s="123"/>
      <c r="Y850" s="123"/>
      <c r="Z850" s="123"/>
      <c r="AA850" s="123"/>
    </row>
    <row r="851" spans="9:27" ht="13.8">
      <c r="I851" s="123"/>
      <c r="J851" s="123"/>
      <c r="K851" s="123"/>
      <c r="L851" s="123"/>
      <c r="M851" s="123"/>
      <c r="N851" s="123"/>
      <c r="O851" s="123"/>
      <c r="P851" s="123"/>
      <c r="Q851" s="123"/>
      <c r="R851" s="123"/>
      <c r="S851" s="123"/>
      <c r="T851" s="123"/>
      <c r="U851" s="123"/>
      <c r="V851" s="123"/>
      <c r="W851" s="123"/>
      <c r="X851" s="123"/>
      <c r="Y851" s="123"/>
      <c r="Z851" s="123"/>
      <c r="AA851" s="123"/>
    </row>
    <row r="852" spans="9:27" ht="13.8">
      <c r="I852" s="123"/>
      <c r="J852" s="123"/>
      <c r="K852" s="123"/>
      <c r="L852" s="123"/>
      <c r="M852" s="123"/>
      <c r="N852" s="123"/>
      <c r="O852" s="123"/>
      <c r="P852" s="123"/>
      <c r="Q852" s="123"/>
      <c r="R852" s="123"/>
      <c r="S852" s="123"/>
      <c r="T852" s="123"/>
      <c r="U852" s="123"/>
      <c r="V852" s="123"/>
      <c r="W852" s="123"/>
      <c r="X852" s="123"/>
      <c r="Y852" s="123"/>
      <c r="Z852" s="123"/>
      <c r="AA852" s="123"/>
    </row>
    <row r="853" spans="9:27" ht="13.8">
      <c r="I853" s="123"/>
      <c r="J853" s="123"/>
      <c r="K853" s="123"/>
      <c r="L853" s="123"/>
      <c r="M853" s="123"/>
      <c r="N853" s="123"/>
      <c r="O853" s="123"/>
      <c r="P853" s="123"/>
      <c r="Q853" s="123"/>
      <c r="R853" s="123"/>
      <c r="S853" s="123"/>
      <c r="T853" s="123"/>
      <c r="U853" s="123"/>
      <c r="V853" s="123"/>
      <c r="W853" s="123"/>
      <c r="X853" s="123"/>
      <c r="Y853" s="123"/>
      <c r="Z853" s="123"/>
      <c r="AA853" s="123"/>
    </row>
    <row r="854" spans="9:27" ht="13.8">
      <c r="I854" s="123"/>
      <c r="J854" s="123"/>
      <c r="K854" s="123"/>
      <c r="L854" s="123"/>
      <c r="M854" s="123"/>
      <c r="N854" s="123"/>
      <c r="O854" s="123"/>
      <c r="P854" s="123"/>
      <c r="Q854" s="123"/>
      <c r="R854" s="123"/>
      <c r="S854" s="123"/>
      <c r="T854" s="123"/>
      <c r="U854" s="123"/>
      <c r="V854" s="123"/>
      <c r="W854" s="123"/>
      <c r="X854" s="123"/>
      <c r="Y854" s="123"/>
      <c r="Z854" s="123"/>
      <c r="AA854" s="123"/>
    </row>
    <row r="855" spans="9:27" ht="13.8">
      <c r="I855" s="123"/>
      <c r="J855" s="123"/>
      <c r="K855" s="123"/>
      <c r="L855" s="123"/>
      <c r="M855" s="123"/>
      <c r="N855" s="123"/>
      <c r="O855" s="123"/>
      <c r="P855" s="123"/>
      <c r="Q855" s="123"/>
      <c r="R855" s="123"/>
      <c r="S855" s="123"/>
      <c r="T855" s="123"/>
      <c r="U855" s="123"/>
      <c r="V855" s="123"/>
      <c r="W855" s="123"/>
      <c r="X855" s="123"/>
      <c r="Y855" s="123"/>
      <c r="Z855" s="123"/>
      <c r="AA855" s="123"/>
    </row>
    <row r="856" spans="9:27" ht="13.8">
      <c r="I856" s="123"/>
      <c r="J856" s="123"/>
      <c r="K856" s="123"/>
      <c r="L856" s="123"/>
      <c r="M856" s="123"/>
      <c r="N856" s="123"/>
      <c r="O856" s="123"/>
      <c r="P856" s="123"/>
      <c r="Q856" s="123"/>
      <c r="R856" s="123"/>
      <c r="S856" s="123"/>
      <c r="T856" s="123"/>
      <c r="U856" s="123"/>
      <c r="V856" s="123"/>
      <c r="W856" s="123"/>
      <c r="X856" s="123"/>
      <c r="Y856" s="123"/>
      <c r="Z856" s="123"/>
      <c r="AA856" s="123"/>
    </row>
    <row r="857" spans="9:27" ht="13.8">
      <c r="I857" s="123"/>
      <c r="J857" s="123"/>
      <c r="K857" s="123"/>
      <c r="L857" s="123"/>
      <c r="M857" s="123"/>
      <c r="N857" s="123"/>
      <c r="O857" s="123"/>
      <c r="P857" s="123"/>
      <c r="Q857" s="123"/>
      <c r="R857" s="123"/>
      <c r="S857" s="123"/>
      <c r="T857" s="123"/>
      <c r="U857" s="123"/>
      <c r="V857" s="123"/>
      <c r="W857" s="123"/>
      <c r="X857" s="123"/>
      <c r="Y857" s="123"/>
      <c r="Z857" s="123"/>
      <c r="AA857" s="123"/>
    </row>
    <row r="858" spans="9:27" ht="13.8">
      <c r="I858" s="123"/>
      <c r="J858" s="123"/>
      <c r="K858" s="123"/>
      <c r="L858" s="123"/>
      <c r="M858" s="123"/>
      <c r="N858" s="123"/>
      <c r="O858" s="123"/>
      <c r="P858" s="123"/>
      <c r="Q858" s="123"/>
      <c r="R858" s="123"/>
      <c r="S858" s="123"/>
      <c r="T858" s="123"/>
      <c r="U858" s="123"/>
      <c r="V858" s="123"/>
      <c r="W858" s="123"/>
      <c r="X858" s="123"/>
      <c r="Y858" s="123"/>
      <c r="Z858" s="123"/>
      <c r="AA858" s="123"/>
    </row>
    <row r="859" spans="9:27" ht="13.8">
      <c r="I859" s="123"/>
      <c r="J859" s="123"/>
      <c r="K859" s="123"/>
      <c r="L859" s="123"/>
      <c r="M859" s="123"/>
      <c r="N859" s="123"/>
      <c r="O859" s="123"/>
      <c r="P859" s="123"/>
      <c r="Q859" s="123"/>
      <c r="R859" s="123"/>
      <c r="S859" s="123"/>
      <c r="T859" s="123"/>
      <c r="U859" s="123"/>
      <c r="V859" s="123"/>
      <c r="W859" s="123"/>
      <c r="X859" s="123"/>
      <c r="Y859" s="123"/>
      <c r="Z859" s="123"/>
      <c r="AA859" s="123"/>
    </row>
    <row r="860" spans="9:27" ht="13.8">
      <c r="I860" s="123"/>
      <c r="J860" s="123"/>
      <c r="K860" s="123"/>
      <c r="L860" s="123"/>
      <c r="M860" s="123"/>
      <c r="N860" s="123"/>
      <c r="O860" s="123"/>
      <c r="P860" s="123"/>
      <c r="Q860" s="123"/>
      <c r="R860" s="123"/>
      <c r="S860" s="123"/>
      <c r="T860" s="123"/>
      <c r="U860" s="123"/>
      <c r="V860" s="123"/>
      <c r="W860" s="123"/>
      <c r="X860" s="123"/>
      <c r="Y860" s="123"/>
      <c r="Z860" s="123"/>
      <c r="AA860" s="123"/>
    </row>
    <row r="861" spans="9:27" ht="13.8">
      <c r="I861" s="123"/>
      <c r="J861" s="123"/>
      <c r="K861" s="123"/>
      <c r="L861" s="123"/>
      <c r="M861" s="123"/>
      <c r="N861" s="123"/>
      <c r="O861" s="123"/>
      <c r="P861" s="123"/>
      <c r="Q861" s="123"/>
      <c r="R861" s="123"/>
      <c r="S861" s="123"/>
      <c r="T861" s="123"/>
      <c r="U861" s="123"/>
      <c r="V861" s="123"/>
      <c r="W861" s="123"/>
      <c r="X861" s="123"/>
      <c r="Y861" s="123"/>
      <c r="Z861" s="123"/>
      <c r="AA861" s="123"/>
    </row>
    <row r="862" spans="9:27" ht="13.8">
      <c r="I862" s="123"/>
      <c r="J862" s="123"/>
      <c r="K862" s="123"/>
      <c r="L862" s="123"/>
      <c r="M862" s="123"/>
      <c r="N862" s="123"/>
      <c r="O862" s="123"/>
      <c r="P862" s="123"/>
      <c r="Q862" s="123"/>
      <c r="R862" s="123"/>
      <c r="S862" s="123"/>
      <c r="T862" s="123"/>
      <c r="U862" s="123"/>
      <c r="V862" s="123"/>
      <c r="W862" s="123"/>
      <c r="X862" s="123"/>
      <c r="Y862" s="123"/>
      <c r="Z862" s="123"/>
      <c r="AA862" s="123"/>
    </row>
    <row r="863" spans="9:27" ht="13.8">
      <c r="I863" s="123"/>
      <c r="J863" s="123"/>
      <c r="K863" s="123"/>
      <c r="L863" s="123"/>
      <c r="M863" s="123"/>
      <c r="N863" s="123"/>
      <c r="O863" s="123"/>
      <c r="P863" s="123"/>
      <c r="Q863" s="123"/>
      <c r="R863" s="123"/>
      <c r="S863" s="123"/>
      <c r="T863" s="123"/>
      <c r="U863" s="123"/>
      <c r="V863" s="123"/>
      <c r="W863" s="123"/>
      <c r="X863" s="123"/>
      <c r="Y863" s="123"/>
      <c r="Z863" s="123"/>
      <c r="AA863" s="123"/>
    </row>
    <row r="864" spans="9:27" ht="13.8">
      <c r="I864" s="123"/>
      <c r="J864" s="123"/>
      <c r="K864" s="123"/>
      <c r="L864" s="123"/>
      <c r="M864" s="123"/>
      <c r="N864" s="123"/>
      <c r="O864" s="123"/>
      <c r="P864" s="123"/>
      <c r="Q864" s="123"/>
      <c r="R864" s="123"/>
      <c r="S864" s="123"/>
      <c r="T864" s="123"/>
      <c r="U864" s="123"/>
      <c r="V864" s="123"/>
      <c r="W864" s="123"/>
      <c r="X864" s="123"/>
      <c r="Y864" s="123"/>
      <c r="Z864" s="123"/>
      <c r="AA864" s="123"/>
    </row>
    <row r="865" spans="9:27" ht="13.8">
      <c r="I865" s="123"/>
      <c r="J865" s="123"/>
      <c r="K865" s="123"/>
      <c r="L865" s="123"/>
      <c r="M865" s="123"/>
      <c r="N865" s="123"/>
      <c r="O865" s="123"/>
      <c r="P865" s="123"/>
      <c r="Q865" s="123"/>
      <c r="R865" s="123"/>
      <c r="S865" s="123"/>
      <c r="T865" s="123"/>
      <c r="U865" s="123"/>
      <c r="V865" s="123"/>
      <c r="W865" s="123"/>
      <c r="X865" s="123"/>
      <c r="Y865" s="123"/>
      <c r="Z865" s="123"/>
      <c r="AA865" s="123"/>
    </row>
    <row r="866" spans="9:27" ht="13.8">
      <c r="I866" s="123"/>
      <c r="J866" s="123"/>
      <c r="K866" s="123"/>
      <c r="L866" s="123"/>
      <c r="M866" s="123"/>
      <c r="N866" s="123"/>
      <c r="O866" s="123"/>
      <c r="P866" s="123"/>
      <c r="Q866" s="123"/>
      <c r="R866" s="123"/>
      <c r="S866" s="123"/>
      <c r="T866" s="123"/>
      <c r="U866" s="123"/>
      <c r="V866" s="123"/>
      <c r="W866" s="123"/>
      <c r="X866" s="123"/>
      <c r="Y866" s="123"/>
      <c r="Z866" s="123"/>
      <c r="AA866" s="123"/>
    </row>
    <row r="867" spans="9:27" ht="13.8">
      <c r="I867" s="123"/>
      <c r="J867" s="123"/>
      <c r="K867" s="123"/>
      <c r="L867" s="123"/>
      <c r="M867" s="123"/>
      <c r="N867" s="123"/>
      <c r="O867" s="123"/>
      <c r="P867" s="123"/>
      <c r="Q867" s="123"/>
      <c r="R867" s="123"/>
      <c r="S867" s="123"/>
      <c r="T867" s="123"/>
      <c r="U867" s="123"/>
      <c r="V867" s="123"/>
      <c r="W867" s="123"/>
      <c r="X867" s="123"/>
      <c r="Y867" s="123"/>
      <c r="Z867" s="123"/>
      <c r="AA867" s="123"/>
    </row>
    <row r="868" spans="9:27" ht="13.8">
      <c r="I868" s="123"/>
      <c r="J868" s="123"/>
      <c r="K868" s="123"/>
      <c r="L868" s="123"/>
      <c r="M868" s="123"/>
      <c r="N868" s="123"/>
      <c r="O868" s="123"/>
      <c r="P868" s="123"/>
      <c r="Q868" s="123"/>
      <c r="R868" s="123"/>
      <c r="S868" s="123"/>
      <c r="T868" s="123"/>
      <c r="U868" s="123"/>
      <c r="V868" s="123"/>
      <c r="W868" s="123"/>
      <c r="X868" s="123"/>
      <c r="Y868" s="123"/>
      <c r="Z868" s="123"/>
      <c r="AA868" s="123"/>
    </row>
    <row r="869" spans="9:27" ht="13.8">
      <c r="I869" s="123"/>
      <c r="J869" s="123"/>
      <c r="K869" s="123"/>
      <c r="L869" s="123"/>
      <c r="M869" s="123"/>
      <c r="N869" s="123"/>
      <c r="O869" s="123"/>
      <c r="P869" s="123"/>
      <c r="Q869" s="123"/>
      <c r="R869" s="123"/>
      <c r="S869" s="123"/>
      <c r="T869" s="123"/>
      <c r="U869" s="123"/>
      <c r="V869" s="123"/>
      <c r="W869" s="123"/>
      <c r="X869" s="123"/>
      <c r="Y869" s="123"/>
      <c r="Z869" s="123"/>
      <c r="AA869" s="123"/>
    </row>
    <row r="870" spans="9:27" ht="13.8">
      <c r="I870" s="123"/>
      <c r="J870" s="123"/>
      <c r="K870" s="123"/>
      <c r="L870" s="123"/>
      <c r="M870" s="123"/>
      <c r="N870" s="123"/>
      <c r="O870" s="123"/>
      <c r="P870" s="123"/>
      <c r="Q870" s="123"/>
      <c r="R870" s="123"/>
      <c r="S870" s="123"/>
      <c r="T870" s="123"/>
      <c r="U870" s="123"/>
      <c r="V870" s="123"/>
      <c r="W870" s="123"/>
      <c r="X870" s="123"/>
      <c r="Y870" s="123"/>
      <c r="Z870" s="123"/>
      <c r="AA870" s="123"/>
    </row>
    <row r="871" spans="9:27" ht="13.8">
      <c r="I871" s="123"/>
      <c r="J871" s="123"/>
      <c r="K871" s="123"/>
      <c r="L871" s="123"/>
      <c r="M871" s="123"/>
      <c r="N871" s="123"/>
      <c r="O871" s="123"/>
      <c r="P871" s="123"/>
      <c r="Q871" s="123"/>
      <c r="R871" s="123"/>
      <c r="S871" s="123"/>
      <c r="T871" s="123"/>
      <c r="U871" s="123"/>
      <c r="V871" s="123"/>
      <c r="W871" s="123"/>
      <c r="X871" s="123"/>
      <c r="Y871" s="123"/>
      <c r="Z871" s="123"/>
      <c r="AA871" s="123"/>
    </row>
    <row r="872" spans="9:27" ht="13.8">
      <c r="I872" s="123"/>
      <c r="J872" s="123"/>
      <c r="K872" s="123"/>
      <c r="L872" s="123"/>
      <c r="M872" s="123"/>
      <c r="N872" s="123"/>
      <c r="O872" s="123"/>
      <c r="P872" s="123"/>
      <c r="Q872" s="123"/>
      <c r="R872" s="123"/>
      <c r="S872" s="123"/>
      <c r="T872" s="123"/>
      <c r="U872" s="123"/>
      <c r="V872" s="123"/>
      <c r="W872" s="123"/>
      <c r="X872" s="123"/>
      <c r="Y872" s="123"/>
      <c r="Z872" s="123"/>
      <c r="AA872" s="123"/>
    </row>
    <row r="873" spans="9:27" ht="13.8">
      <c r="I873" s="123"/>
      <c r="J873" s="123"/>
      <c r="K873" s="123"/>
      <c r="L873" s="123"/>
      <c r="M873" s="123"/>
      <c r="N873" s="123"/>
      <c r="O873" s="123"/>
      <c r="P873" s="123"/>
      <c r="Q873" s="123"/>
      <c r="R873" s="123"/>
      <c r="S873" s="123"/>
      <c r="T873" s="123"/>
      <c r="U873" s="123"/>
      <c r="V873" s="123"/>
      <c r="W873" s="123"/>
      <c r="X873" s="123"/>
      <c r="Y873" s="123"/>
      <c r="Z873" s="123"/>
      <c r="AA873" s="123"/>
    </row>
    <row r="874" spans="9:27" ht="13.8">
      <c r="I874" s="123"/>
      <c r="J874" s="123"/>
      <c r="K874" s="123"/>
      <c r="L874" s="123"/>
      <c r="M874" s="123"/>
      <c r="N874" s="123"/>
      <c r="O874" s="123"/>
      <c r="P874" s="123"/>
      <c r="Q874" s="123"/>
      <c r="R874" s="123"/>
      <c r="S874" s="123"/>
      <c r="T874" s="123"/>
      <c r="U874" s="123"/>
      <c r="V874" s="123"/>
      <c r="W874" s="123"/>
      <c r="X874" s="123"/>
      <c r="Y874" s="123"/>
      <c r="Z874" s="123"/>
      <c r="AA874" s="123"/>
    </row>
    <row r="875" spans="9:27" ht="13.8">
      <c r="I875" s="123"/>
      <c r="J875" s="123"/>
      <c r="K875" s="123"/>
      <c r="L875" s="123"/>
      <c r="M875" s="123"/>
      <c r="N875" s="123"/>
      <c r="O875" s="123"/>
      <c r="P875" s="123"/>
      <c r="Q875" s="123"/>
      <c r="R875" s="123"/>
      <c r="S875" s="123"/>
      <c r="T875" s="123"/>
      <c r="U875" s="123"/>
      <c r="V875" s="123"/>
      <c r="W875" s="123"/>
      <c r="X875" s="123"/>
      <c r="Y875" s="123"/>
      <c r="Z875" s="123"/>
      <c r="AA875" s="123"/>
    </row>
    <row r="876" spans="9:27" ht="13.8">
      <c r="I876" s="123"/>
      <c r="J876" s="123"/>
      <c r="K876" s="123"/>
      <c r="L876" s="123"/>
      <c r="M876" s="123"/>
      <c r="N876" s="123"/>
      <c r="O876" s="123"/>
      <c r="P876" s="123"/>
      <c r="Q876" s="123"/>
      <c r="R876" s="123"/>
      <c r="S876" s="123"/>
      <c r="T876" s="123"/>
      <c r="U876" s="123"/>
      <c r="V876" s="123"/>
      <c r="W876" s="123"/>
      <c r="X876" s="123"/>
      <c r="Y876" s="123"/>
      <c r="Z876" s="123"/>
      <c r="AA876" s="123"/>
    </row>
    <row r="877" spans="9:27" ht="13.8">
      <c r="I877" s="123"/>
      <c r="J877" s="123"/>
      <c r="K877" s="123"/>
      <c r="L877" s="123"/>
      <c r="M877" s="123"/>
      <c r="N877" s="123"/>
      <c r="O877" s="123"/>
      <c r="P877" s="123"/>
      <c r="Q877" s="123"/>
      <c r="R877" s="123"/>
      <c r="S877" s="123"/>
      <c r="T877" s="123"/>
      <c r="U877" s="123"/>
      <c r="V877" s="123"/>
      <c r="W877" s="123"/>
      <c r="X877" s="123"/>
      <c r="Y877" s="123"/>
      <c r="Z877" s="123"/>
      <c r="AA877" s="123"/>
    </row>
    <row r="878" spans="9:27" ht="13.8">
      <c r="I878" s="123"/>
      <c r="J878" s="123"/>
      <c r="K878" s="123"/>
      <c r="L878" s="123"/>
      <c r="M878" s="123"/>
      <c r="N878" s="123"/>
      <c r="O878" s="123"/>
      <c r="P878" s="123"/>
      <c r="Q878" s="123"/>
      <c r="R878" s="123"/>
      <c r="S878" s="123"/>
      <c r="T878" s="123"/>
      <c r="U878" s="123"/>
      <c r="V878" s="123"/>
      <c r="W878" s="123"/>
      <c r="X878" s="123"/>
      <c r="Y878" s="123"/>
      <c r="Z878" s="123"/>
      <c r="AA878" s="123"/>
    </row>
    <row r="879" spans="9:27" ht="13.8">
      <c r="I879" s="123"/>
      <c r="J879" s="123"/>
      <c r="K879" s="123"/>
      <c r="L879" s="123"/>
      <c r="M879" s="123"/>
      <c r="N879" s="123"/>
      <c r="O879" s="123"/>
      <c r="P879" s="123"/>
      <c r="Q879" s="123"/>
      <c r="R879" s="123"/>
      <c r="S879" s="123"/>
      <c r="T879" s="123"/>
      <c r="U879" s="123"/>
      <c r="V879" s="123"/>
      <c r="W879" s="123"/>
      <c r="X879" s="123"/>
      <c r="Y879" s="123"/>
      <c r="Z879" s="123"/>
      <c r="AA879" s="123"/>
    </row>
    <row r="880" spans="9:27" ht="13.8">
      <c r="I880" s="123"/>
      <c r="J880" s="123"/>
      <c r="K880" s="123"/>
      <c r="L880" s="123"/>
      <c r="M880" s="123"/>
      <c r="N880" s="123"/>
      <c r="O880" s="123"/>
      <c r="P880" s="123"/>
      <c r="Q880" s="123"/>
      <c r="R880" s="123"/>
      <c r="S880" s="123"/>
      <c r="T880" s="123"/>
      <c r="U880" s="123"/>
      <c r="V880" s="123"/>
      <c r="W880" s="123"/>
      <c r="X880" s="123"/>
      <c r="Y880" s="123"/>
      <c r="Z880" s="123"/>
      <c r="AA880" s="123"/>
    </row>
    <row r="881" spans="9:27" ht="13.8">
      <c r="I881" s="123"/>
      <c r="J881" s="123"/>
      <c r="K881" s="123"/>
      <c r="L881" s="123"/>
      <c r="M881" s="123"/>
      <c r="N881" s="123"/>
      <c r="O881" s="123"/>
      <c r="P881" s="123"/>
      <c r="Q881" s="123"/>
      <c r="R881" s="123"/>
      <c r="S881" s="123"/>
      <c r="T881" s="123"/>
      <c r="U881" s="123"/>
      <c r="V881" s="123"/>
      <c r="W881" s="123"/>
      <c r="X881" s="123"/>
      <c r="Y881" s="123"/>
      <c r="Z881" s="123"/>
      <c r="AA881" s="123"/>
    </row>
    <row r="882" spans="9:27" ht="13.8">
      <c r="I882" s="123"/>
      <c r="J882" s="123"/>
      <c r="K882" s="123"/>
      <c r="L882" s="123"/>
      <c r="M882" s="123"/>
      <c r="N882" s="123"/>
      <c r="O882" s="123"/>
      <c r="P882" s="123"/>
      <c r="Q882" s="123"/>
      <c r="R882" s="123"/>
      <c r="S882" s="123"/>
      <c r="T882" s="123"/>
      <c r="U882" s="123"/>
      <c r="V882" s="123"/>
      <c r="W882" s="123"/>
      <c r="X882" s="123"/>
      <c r="Y882" s="123"/>
      <c r="Z882" s="123"/>
      <c r="AA882" s="123"/>
    </row>
    <row r="883" spans="9:27" ht="13.8">
      <c r="I883" s="123"/>
      <c r="J883" s="123"/>
      <c r="K883" s="123"/>
      <c r="L883" s="123"/>
      <c r="M883" s="123"/>
      <c r="N883" s="123"/>
      <c r="O883" s="123"/>
      <c r="P883" s="123"/>
      <c r="Q883" s="123"/>
      <c r="R883" s="123"/>
      <c r="S883" s="123"/>
      <c r="T883" s="123"/>
      <c r="U883" s="123"/>
      <c r="V883" s="123"/>
      <c r="W883" s="123"/>
      <c r="X883" s="123"/>
      <c r="Y883" s="123"/>
      <c r="Z883" s="123"/>
      <c r="AA883" s="123"/>
    </row>
    <row r="884" spans="9:27" ht="13.8">
      <c r="I884" s="123"/>
      <c r="J884" s="123"/>
      <c r="K884" s="123"/>
      <c r="L884" s="123"/>
      <c r="M884" s="123"/>
      <c r="N884" s="123"/>
      <c r="O884" s="123"/>
      <c r="P884" s="123"/>
      <c r="Q884" s="123"/>
      <c r="R884" s="123"/>
      <c r="S884" s="123"/>
      <c r="T884" s="123"/>
      <c r="U884" s="123"/>
      <c r="V884" s="123"/>
      <c r="W884" s="123"/>
      <c r="X884" s="123"/>
      <c r="Y884" s="123"/>
      <c r="Z884" s="123"/>
      <c r="AA884" s="123"/>
    </row>
    <row r="885" spans="9:27" ht="13.8">
      <c r="I885" s="123"/>
      <c r="J885" s="123"/>
      <c r="K885" s="123"/>
      <c r="L885" s="123"/>
      <c r="M885" s="123"/>
      <c r="N885" s="123"/>
      <c r="O885" s="123"/>
      <c r="P885" s="123"/>
      <c r="Q885" s="123"/>
      <c r="R885" s="123"/>
      <c r="S885" s="123"/>
      <c r="T885" s="123"/>
      <c r="U885" s="123"/>
      <c r="V885" s="123"/>
      <c r="W885" s="123"/>
      <c r="X885" s="123"/>
      <c r="Y885" s="123"/>
      <c r="Z885" s="123"/>
      <c r="AA885" s="123"/>
    </row>
    <row r="886" spans="9:27" ht="13.8">
      <c r="I886" s="123"/>
      <c r="J886" s="123"/>
      <c r="K886" s="123"/>
      <c r="L886" s="123"/>
      <c r="M886" s="123"/>
      <c r="N886" s="123"/>
      <c r="O886" s="123"/>
      <c r="P886" s="123"/>
      <c r="Q886" s="123"/>
      <c r="R886" s="123"/>
      <c r="S886" s="123"/>
      <c r="T886" s="123"/>
      <c r="U886" s="123"/>
      <c r="V886" s="123"/>
      <c r="W886" s="123"/>
      <c r="X886" s="123"/>
      <c r="Y886" s="123"/>
      <c r="Z886" s="123"/>
      <c r="AA886" s="123"/>
    </row>
    <row r="887" spans="9:27" ht="13.8">
      <c r="I887" s="123"/>
      <c r="J887" s="123"/>
      <c r="K887" s="123"/>
      <c r="L887" s="123"/>
      <c r="M887" s="123"/>
      <c r="N887" s="123"/>
      <c r="O887" s="123"/>
      <c r="P887" s="123"/>
      <c r="Q887" s="123"/>
      <c r="R887" s="123"/>
      <c r="S887" s="123"/>
      <c r="T887" s="123"/>
      <c r="U887" s="123"/>
      <c r="V887" s="123"/>
      <c r="W887" s="123"/>
      <c r="X887" s="123"/>
      <c r="Y887" s="123"/>
      <c r="Z887" s="123"/>
      <c r="AA887" s="123"/>
    </row>
    <row r="888" spans="9:27" ht="13.8">
      <c r="I888" s="123"/>
      <c r="J888" s="123"/>
      <c r="K888" s="123"/>
      <c r="L888" s="123"/>
      <c r="M888" s="123"/>
      <c r="N888" s="123"/>
      <c r="O888" s="123"/>
      <c r="P888" s="123"/>
      <c r="Q888" s="123"/>
      <c r="R888" s="123"/>
      <c r="S888" s="123"/>
      <c r="T888" s="123"/>
      <c r="U888" s="123"/>
      <c r="V888" s="123"/>
      <c r="W888" s="123"/>
      <c r="X888" s="123"/>
      <c r="Y888" s="123"/>
      <c r="Z888" s="123"/>
      <c r="AA888" s="123"/>
    </row>
    <row r="889" spans="9:27" ht="13.8">
      <c r="I889" s="123"/>
      <c r="J889" s="123"/>
      <c r="K889" s="123"/>
      <c r="L889" s="123"/>
      <c r="M889" s="123"/>
      <c r="N889" s="123"/>
      <c r="O889" s="123"/>
      <c r="P889" s="123"/>
      <c r="Q889" s="123"/>
      <c r="R889" s="123"/>
      <c r="S889" s="123"/>
      <c r="T889" s="123"/>
      <c r="U889" s="123"/>
      <c r="V889" s="123"/>
      <c r="W889" s="123"/>
      <c r="X889" s="123"/>
      <c r="Y889" s="123"/>
      <c r="Z889" s="123"/>
      <c r="AA889" s="123"/>
    </row>
    <row r="890" spans="9:27" ht="13.8">
      <c r="I890" s="123"/>
      <c r="J890" s="123"/>
      <c r="K890" s="123"/>
      <c r="L890" s="123"/>
      <c r="M890" s="123"/>
      <c r="N890" s="123"/>
      <c r="O890" s="123"/>
      <c r="P890" s="123"/>
      <c r="Q890" s="123"/>
      <c r="R890" s="123"/>
      <c r="S890" s="123"/>
      <c r="T890" s="123"/>
      <c r="U890" s="123"/>
      <c r="V890" s="123"/>
      <c r="W890" s="123"/>
      <c r="X890" s="123"/>
      <c r="Y890" s="123"/>
      <c r="Z890" s="123"/>
      <c r="AA890" s="123"/>
    </row>
    <row r="891" spans="9:27" ht="13.8">
      <c r="I891" s="123"/>
      <c r="J891" s="123"/>
      <c r="K891" s="123"/>
      <c r="L891" s="123"/>
      <c r="M891" s="123"/>
      <c r="N891" s="123"/>
      <c r="O891" s="123"/>
      <c r="P891" s="123"/>
      <c r="Q891" s="123"/>
      <c r="R891" s="123"/>
      <c r="S891" s="123"/>
      <c r="T891" s="123"/>
      <c r="U891" s="123"/>
      <c r="V891" s="123"/>
      <c r="W891" s="123"/>
      <c r="X891" s="123"/>
      <c r="Y891" s="123"/>
      <c r="Z891" s="123"/>
      <c r="AA891" s="123"/>
    </row>
    <row r="892" spans="9:27" ht="13.8">
      <c r="I892" s="123"/>
      <c r="J892" s="123"/>
      <c r="K892" s="123"/>
      <c r="L892" s="123"/>
      <c r="M892" s="123"/>
      <c r="N892" s="123"/>
      <c r="O892" s="123"/>
      <c r="P892" s="123"/>
      <c r="Q892" s="123"/>
      <c r="R892" s="123"/>
      <c r="S892" s="123"/>
      <c r="T892" s="123"/>
      <c r="U892" s="123"/>
      <c r="V892" s="123"/>
      <c r="W892" s="123"/>
      <c r="X892" s="123"/>
      <c r="Y892" s="123"/>
      <c r="Z892" s="123"/>
      <c r="AA892" s="123"/>
    </row>
    <row r="893" spans="9:27" ht="13.8">
      <c r="I893" s="123"/>
      <c r="J893" s="123"/>
      <c r="K893" s="123"/>
      <c r="L893" s="123"/>
      <c r="M893" s="123"/>
      <c r="N893" s="123"/>
      <c r="O893" s="123"/>
      <c r="P893" s="123"/>
      <c r="Q893" s="123"/>
      <c r="R893" s="123"/>
      <c r="S893" s="123"/>
      <c r="T893" s="123"/>
      <c r="U893" s="123"/>
      <c r="V893" s="123"/>
      <c r="W893" s="123"/>
      <c r="X893" s="123"/>
      <c r="Y893" s="123"/>
      <c r="Z893" s="123"/>
      <c r="AA893" s="123"/>
    </row>
    <row r="894" spans="9:27" ht="13.8">
      <c r="I894" s="123"/>
      <c r="J894" s="123"/>
      <c r="K894" s="123"/>
      <c r="L894" s="123"/>
      <c r="M894" s="123"/>
      <c r="N894" s="123"/>
      <c r="O894" s="123"/>
      <c r="P894" s="123"/>
      <c r="Q894" s="123"/>
      <c r="R894" s="123"/>
      <c r="S894" s="123"/>
      <c r="T894" s="123"/>
      <c r="U894" s="123"/>
      <c r="V894" s="123"/>
      <c r="W894" s="123"/>
      <c r="X894" s="123"/>
      <c r="Y894" s="123"/>
      <c r="Z894" s="123"/>
      <c r="AA894" s="123"/>
    </row>
    <row r="895" spans="9:27" ht="13.8">
      <c r="I895" s="123"/>
      <c r="J895" s="123"/>
      <c r="K895" s="123"/>
      <c r="L895" s="123"/>
      <c r="M895" s="123"/>
      <c r="N895" s="123"/>
      <c r="O895" s="123"/>
      <c r="P895" s="123"/>
      <c r="Q895" s="123"/>
      <c r="R895" s="123"/>
      <c r="S895" s="123"/>
      <c r="T895" s="123"/>
      <c r="U895" s="123"/>
      <c r="V895" s="123"/>
      <c r="W895" s="123"/>
      <c r="X895" s="123"/>
      <c r="Y895" s="123"/>
      <c r="Z895" s="123"/>
      <c r="AA895" s="123"/>
    </row>
    <row r="896" spans="9:27" ht="13.8">
      <c r="I896" s="123"/>
      <c r="J896" s="123"/>
      <c r="K896" s="123"/>
      <c r="L896" s="123"/>
      <c r="M896" s="123"/>
      <c r="N896" s="123"/>
      <c r="O896" s="123"/>
      <c r="P896" s="123"/>
      <c r="Q896" s="123"/>
      <c r="R896" s="123"/>
      <c r="S896" s="123"/>
      <c r="T896" s="123"/>
      <c r="U896" s="123"/>
      <c r="V896" s="123"/>
      <c r="W896" s="123"/>
      <c r="X896" s="123"/>
      <c r="Y896" s="123"/>
      <c r="Z896" s="123"/>
      <c r="AA896" s="123"/>
    </row>
    <row r="897" spans="9:27" ht="13.8">
      <c r="I897" s="123"/>
      <c r="J897" s="123"/>
      <c r="K897" s="123"/>
      <c r="L897" s="123"/>
      <c r="M897" s="123"/>
      <c r="N897" s="123"/>
      <c r="O897" s="123"/>
      <c r="P897" s="123"/>
      <c r="Q897" s="123"/>
      <c r="R897" s="123"/>
      <c r="S897" s="123"/>
      <c r="T897" s="123"/>
      <c r="U897" s="123"/>
      <c r="V897" s="123"/>
      <c r="W897" s="123"/>
      <c r="X897" s="123"/>
      <c r="Y897" s="123"/>
      <c r="Z897" s="123"/>
      <c r="AA897" s="123"/>
    </row>
    <row r="898" spans="9:27" ht="13.8">
      <c r="I898" s="123"/>
      <c r="J898" s="123"/>
      <c r="K898" s="123"/>
      <c r="L898" s="123"/>
      <c r="M898" s="123"/>
      <c r="N898" s="123"/>
      <c r="O898" s="123"/>
      <c r="P898" s="123"/>
      <c r="Q898" s="123"/>
      <c r="R898" s="123"/>
      <c r="S898" s="123"/>
      <c r="T898" s="123"/>
      <c r="U898" s="123"/>
      <c r="V898" s="123"/>
      <c r="W898" s="123"/>
      <c r="X898" s="123"/>
      <c r="Y898" s="123"/>
      <c r="Z898" s="123"/>
      <c r="AA898" s="123"/>
    </row>
    <row r="899" spans="9:27" ht="13.8">
      <c r="I899" s="123"/>
      <c r="J899" s="123"/>
      <c r="K899" s="123"/>
      <c r="L899" s="123"/>
      <c r="M899" s="123"/>
      <c r="N899" s="123"/>
      <c r="O899" s="123"/>
      <c r="P899" s="123"/>
      <c r="Q899" s="123"/>
      <c r="R899" s="123"/>
      <c r="S899" s="123"/>
      <c r="T899" s="123"/>
      <c r="U899" s="123"/>
      <c r="V899" s="123"/>
      <c r="W899" s="123"/>
      <c r="X899" s="123"/>
      <c r="Y899" s="123"/>
      <c r="Z899" s="123"/>
      <c r="AA899" s="123"/>
    </row>
    <row r="900" spans="9:27" ht="13.8">
      <c r="I900" s="123"/>
      <c r="J900" s="123"/>
      <c r="K900" s="123"/>
      <c r="L900" s="123"/>
      <c r="M900" s="123"/>
      <c r="N900" s="123"/>
      <c r="O900" s="123"/>
      <c r="P900" s="123"/>
      <c r="Q900" s="123"/>
      <c r="R900" s="123"/>
      <c r="S900" s="123"/>
      <c r="T900" s="123"/>
      <c r="U900" s="123"/>
      <c r="V900" s="123"/>
      <c r="W900" s="123"/>
      <c r="X900" s="123"/>
      <c r="Y900" s="123"/>
      <c r="Z900" s="123"/>
      <c r="AA900" s="123"/>
    </row>
    <row r="901" spans="9:27" ht="13.8">
      <c r="I901" s="123"/>
      <c r="J901" s="123"/>
      <c r="K901" s="123"/>
      <c r="L901" s="123"/>
      <c r="M901" s="123"/>
      <c r="N901" s="123"/>
      <c r="O901" s="123"/>
      <c r="P901" s="123"/>
      <c r="Q901" s="123"/>
      <c r="R901" s="123"/>
      <c r="S901" s="123"/>
      <c r="T901" s="123"/>
      <c r="U901" s="123"/>
      <c r="V901" s="123"/>
      <c r="W901" s="123"/>
      <c r="X901" s="123"/>
      <c r="Y901" s="123"/>
      <c r="Z901" s="123"/>
      <c r="AA901" s="123"/>
    </row>
    <row r="902" spans="9:27" ht="13.8">
      <c r="I902" s="123"/>
      <c r="J902" s="123"/>
      <c r="K902" s="123"/>
      <c r="L902" s="123"/>
      <c r="M902" s="123"/>
      <c r="N902" s="123"/>
      <c r="O902" s="123"/>
      <c r="P902" s="123"/>
      <c r="Q902" s="123"/>
      <c r="R902" s="123"/>
      <c r="S902" s="123"/>
      <c r="T902" s="123"/>
      <c r="U902" s="123"/>
      <c r="V902" s="123"/>
      <c r="W902" s="123"/>
      <c r="X902" s="123"/>
      <c r="Y902" s="123"/>
      <c r="Z902" s="123"/>
      <c r="AA902" s="123"/>
    </row>
    <row r="903" spans="9:27" ht="13.8">
      <c r="I903" s="123"/>
      <c r="J903" s="123"/>
      <c r="K903" s="123"/>
      <c r="L903" s="123"/>
      <c r="M903" s="123"/>
      <c r="N903" s="123"/>
      <c r="O903" s="123"/>
      <c r="P903" s="123"/>
      <c r="Q903" s="123"/>
      <c r="R903" s="123"/>
      <c r="S903" s="123"/>
      <c r="T903" s="123"/>
      <c r="U903" s="123"/>
      <c r="V903" s="123"/>
      <c r="W903" s="123"/>
      <c r="X903" s="123"/>
      <c r="Y903" s="123"/>
      <c r="Z903" s="123"/>
      <c r="AA903" s="123"/>
    </row>
    <row r="904" spans="9:27" ht="13.8">
      <c r="I904" s="123"/>
      <c r="J904" s="123"/>
      <c r="K904" s="123"/>
      <c r="L904" s="123"/>
      <c r="M904" s="123"/>
      <c r="N904" s="123"/>
      <c r="O904" s="123"/>
      <c r="P904" s="123"/>
      <c r="Q904" s="123"/>
      <c r="R904" s="123"/>
      <c r="S904" s="123"/>
      <c r="T904" s="123"/>
      <c r="U904" s="123"/>
      <c r="V904" s="123"/>
      <c r="W904" s="123"/>
      <c r="X904" s="123"/>
      <c r="Y904" s="123"/>
      <c r="Z904" s="123"/>
      <c r="AA904" s="123"/>
    </row>
    <row r="905" spans="9:27" ht="13.8">
      <c r="I905" s="123"/>
      <c r="J905" s="123"/>
      <c r="K905" s="123"/>
      <c r="L905" s="123"/>
      <c r="M905" s="123"/>
      <c r="N905" s="123"/>
      <c r="O905" s="123"/>
      <c r="P905" s="123"/>
      <c r="Q905" s="123"/>
      <c r="R905" s="123"/>
      <c r="S905" s="123"/>
      <c r="T905" s="123"/>
      <c r="U905" s="123"/>
      <c r="V905" s="123"/>
      <c r="W905" s="123"/>
      <c r="X905" s="123"/>
      <c r="Y905" s="123"/>
      <c r="Z905" s="123"/>
      <c r="AA905" s="123"/>
    </row>
    <row r="906" spans="9:27" ht="13.8">
      <c r="I906" s="123"/>
      <c r="J906" s="123"/>
      <c r="K906" s="123"/>
      <c r="L906" s="123"/>
      <c r="M906" s="123"/>
      <c r="N906" s="123"/>
      <c r="O906" s="123"/>
      <c r="P906" s="123"/>
      <c r="Q906" s="123"/>
      <c r="R906" s="123"/>
      <c r="S906" s="123"/>
      <c r="T906" s="123"/>
      <c r="U906" s="123"/>
      <c r="V906" s="123"/>
      <c r="W906" s="123"/>
      <c r="X906" s="123"/>
      <c r="Y906" s="123"/>
      <c r="Z906" s="123"/>
      <c r="AA906" s="123"/>
    </row>
    <row r="907" spans="9:27" ht="13.8">
      <c r="I907" s="123"/>
      <c r="J907" s="123"/>
      <c r="K907" s="123"/>
      <c r="L907" s="123"/>
      <c r="M907" s="123"/>
      <c r="N907" s="123"/>
      <c r="O907" s="123"/>
      <c r="P907" s="123"/>
      <c r="Q907" s="123"/>
      <c r="R907" s="123"/>
      <c r="S907" s="123"/>
      <c r="T907" s="123"/>
      <c r="U907" s="123"/>
      <c r="V907" s="123"/>
      <c r="W907" s="123"/>
      <c r="X907" s="123"/>
      <c r="Y907" s="123"/>
      <c r="Z907" s="123"/>
      <c r="AA907" s="123"/>
    </row>
    <row r="908" spans="9:27" ht="13.8">
      <c r="I908" s="123"/>
      <c r="J908" s="123"/>
      <c r="K908" s="123"/>
      <c r="L908" s="123"/>
      <c r="M908" s="123"/>
      <c r="N908" s="123"/>
      <c r="O908" s="123"/>
      <c r="P908" s="123"/>
      <c r="Q908" s="123"/>
      <c r="R908" s="123"/>
      <c r="S908" s="123"/>
      <c r="T908" s="123"/>
      <c r="U908" s="123"/>
      <c r="V908" s="123"/>
      <c r="W908" s="123"/>
      <c r="X908" s="123"/>
      <c r="Y908" s="123"/>
      <c r="Z908" s="123"/>
      <c r="AA908" s="123"/>
    </row>
    <row r="909" spans="9:27" ht="13.8">
      <c r="I909" s="123"/>
      <c r="J909" s="123"/>
      <c r="K909" s="123"/>
      <c r="L909" s="123"/>
      <c r="M909" s="123"/>
      <c r="N909" s="123"/>
      <c r="O909" s="123"/>
      <c r="P909" s="123"/>
      <c r="Q909" s="123"/>
      <c r="R909" s="123"/>
      <c r="S909" s="123"/>
      <c r="T909" s="123"/>
      <c r="U909" s="123"/>
      <c r="V909" s="123"/>
      <c r="W909" s="123"/>
      <c r="X909" s="123"/>
      <c r="Y909" s="123"/>
      <c r="Z909" s="123"/>
      <c r="AA909" s="123"/>
    </row>
    <row r="910" spans="9:27" ht="13.8">
      <c r="I910" s="123"/>
      <c r="J910" s="123"/>
      <c r="K910" s="123"/>
      <c r="L910" s="123"/>
      <c r="M910" s="123"/>
      <c r="N910" s="123"/>
      <c r="O910" s="123"/>
      <c r="P910" s="123"/>
      <c r="Q910" s="123"/>
      <c r="R910" s="123"/>
      <c r="S910" s="123"/>
      <c r="T910" s="123"/>
      <c r="U910" s="123"/>
      <c r="V910" s="123"/>
      <c r="W910" s="123"/>
      <c r="X910" s="123"/>
      <c r="Y910" s="123"/>
      <c r="Z910" s="123"/>
      <c r="AA910" s="123"/>
    </row>
    <row r="911" spans="9:27" ht="13.8">
      <c r="I911" s="123"/>
      <c r="J911" s="123"/>
      <c r="K911" s="123"/>
      <c r="L911" s="123"/>
      <c r="M911" s="123"/>
      <c r="N911" s="123"/>
      <c r="O911" s="123"/>
      <c r="P911" s="123"/>
      <c r="Q911" s="123"/>
      <c r="R911" s="123"/>
      <c r="S911" s="123"/>
      <c r="T911" s="123"/>
      <c r="U911" s="123"/>
      <c r="V911" s="123"/>
      <c r="W911" s="123"/>
      <c r="X911" s="123"/>
      <c r="Y911" s="123"/>
      <c r="Z911" s="123"/>
      <c r="AA911" s="123"/>
    </row>
    <row r="912" spans="9:27" ht="13.8">
      <c r="I912" s="123"/>
      <c r="J912" s="123"/>
      <c r="K912" s="123"/>
      <c r="L912" s="123"/>
      <c r="M912" s="123"/>
      <c r="N912" s="123"/>
      <c r="O912" s="123"/>
      <c r="P912" s="123"/>
      <c r="Q912" s="123"/>
      <c r="R912" s="123"/>
      <c r="S912" s="123"/>
      <c r="T912" s="123"/>
      <c r="U912" s="123"/>
      <c r="V912" s="123"/>
      <c r="W912" s="123"/>
      <c r="X912" s="123"/>
      <c r="Y912" s="123"/>
      <c r="Z912" s="123"/>
      <c r="AA912" s="123"/>
    </row>
    <row r="913" spans="9:27" ht="13.8">
      <c r="I913" s="123"/>
      <c r="J913" s="123"/>
      <c r="K913" s="123"/>
      <c r="L913" s="123"/>
      <c r="M913" s="123"/>
      <c r="N913" s="123"/>
      <c r="O913" s="123"/>
      <c r="P913" s="123"/>
      <c r="Q913" s="123"/>
      <c r="R913" s="123"/>
      <c r="S913" s="123"/>
      <c r="T913" s="123"/>
      <c r="U913" s="123"/>
      <c r="V913" s="123"/>
      <c r="W913" s="123"/>
      <c r="X913" s="123"/>
      <c r="Y913" s="123"/>
      <c r="Z913" s="123"/>
      <c r="AA913" s="123"/>
    </row>
    <row r="914" spans="9:27" ht="13.8">
      <c r="I914" s="123"/>
      <c r="J914" s="123"/>
      <c r="K914" s="123"/>
      <c r="L914" s="123"/>
      <c r="M914" s="123"/>
      <c r="N914" s="123"/>
      <c r="O914" s="123"/>
      <c r="P914" s="123"/>
      <c r="Q914" s="123"/>
      <c r="R914" s="123"/>
      <c r="S914" s="123"/>
      <c r="T914" s="123"/>
      <c r="U914" s="123"/>
      <c r="V914" s="123"/>
      <c r="W914" s="123"/>
      <c r="X914" s="123"/>
      <c r="Y914" s="123"/>
      <c r="Z914" s="123"/>
      <c r="AA914" s="123"/>
    </row>
    <row r="915" spans="9:27" ht="13.8">
      <c r="I915" s="123"/>
      <c r="J915" s="123"/>
      <c r="K915" s="123"/>
      <c r="L915" s="123"/>
      <c r="M915" s="123"/>
      <c r="N915" s="123"/>
      <c r="O915" s="123"/>
      <c r="P915" s="123"/>
      <c r="Q915" s="123"/>
      <c r="R915" s="123"/>
      <c r="S915" s="123"/>
      <c r="T915" s="123"/>
      <c r="U915" s="123"/>
      <c r="V915" s="123"/>
      <c r="W915" s="123"/>
      <c r="X915" s="123"/>
      <c r="Y915" s="123"/>
      <c r="Z915" s="123"/>
      <c r="AA915" s="123"/>
    </row>
    <row r="916" spans="9:27" ht="13.8">
      <c r="I916" s="123"/>
      <c r="J916" s="123"/>
      <c r="K916" s="123"/>
      <c r="L916" s="123"/>
      <c r="M916" s="123"/>
      <c r="N916" s="123"/>
      <c r="O916" s="123"/>
      <c r="P916" s="123"/>
      <c r="Q916" s="123"/>
      <c r="R916" s="123"/>
      <c r="S916" s="123"/>
      <c r="T916" s="123"/>
      <c r="U916" s="123"/>
      <c r="V916" s="123"/>
      <c r="W916" s="123"/>
      <c r="X916" s="123"/>
      <c r="Y916" s="123"/>
      <c r="Z916" s="123"/>
      <c r="AA916" s="123"/>
    </row>
    <row r="917" spans="9:27" ht="13.8">
      <c r="I917" s="123"/>
      <c r="J917" s="123"/>
      <c r="K917" s="123"/>
      <c r="L917" s="123"/>
      <c r="M917" s="123"/>
      <c r="N917" s="123"/>
      <c r="O917" s="123"/>
      <c r="P917" s="123"/>
      <c r="Q917" s="123"/>
      <c r="R917" s="123"/>
      <c r="S917" s="123"/>
      <c r="T917" s="123"/>
      <c r="U917" s="123"/>
      <c r="V917" s="123"/>
      <c r="W917" s="123"/>
      <c r="X917" s="123"/>
      <c r="Y917" s="123"/>
      <c r="Z917" s="123"/>
      <c r="AA917" s="123"/>
    </row>
    <row r="918" spans="9:27" ht="13.8">
      <c r="I918" s="123"/>
      <c r="J918" s="123"/>
      <c r="K918" s="123"/>
      <c r="L918" s="123"/>
      <c r="M918" s="123"/>
      <c r="N918" s="123"/>
      <c r="O918" s="123"/>
      <c r="P918" s="123"/>
      <c r="Q918" s="123"/>
      <c r="R918" s="123"/>
      <c r="S918" s="123"/>
      <c r="T918" s="123"/>
      <c r="U918" s="123"/>
      <c r="V918" s="123"/>
      <c r="W918" s="123"/>
      <c r="X918" s="123"/>
      <c r="Y918" s="123"/>
      <c r="Z918" s="123"/>
      <c r="AA918" s="123"/>
    </row>
    <row r="919" spans="9:27" ht="13.8">
      <c r="I919" s="123"/>
      <c r="J919" s="123"/>
      <c r="K919" s="123"/>
      <c r="L919" s="123"/>
      <c r="M919" s="123"/>
      <c r="N919" s="123"/>
      <c r="O919" s="123"/>
      <c r="P919" s="123"/>
      <c r="Q919" s="123"/>
      <c r="R919" s="123"/>
      <c r="S919" s="123"/>
      <c r="T919" s="123"/>
      <c r="U919" s="123"/>
      <c r="V919" s="123"/>
      <c r="W919" s="123"/>
      <c r="X919" s="123"/>
      <c r="Y919" s="123"/>
      <c r="Z919" s="123"/>
      <c r="AA919" s="123"/>
    </row>
    <row r="920" spans="9:27" ht="13.8">
      <c r="I920" s="123"/>
      <c r="J920" s="123"/>
      <c r="K920" s="123"/>
      <c r="L920" s="123"/>
      <c r="M920" s="123"/>
      <c r="N920" s="123"/>
      <c r="O920" s="123"/>
      <c r="P920" s="123"/>
      <c r="Q920" s="123"/>
      <c r="R920" s="123"/>
      <c r="S920" s="123"/>
      <c r="T920" s="123"/>
      <c r="U920" s="123"/>
      <c r="V920" s="123"/>
      <c r="W920" s="123"/>
      <c r="X920" s="123"/>
      <c r="Y920" s="123"/>
      <c r="Z920" s="123"/>
      <c r="AA920" s="123"/>
    </row>
    <row r="921" spans="9:27" ht="13.8">
      <c r="I921" s="123"/>
      <c r="J921" s="123"/>
      <c r="K921" s="123"/>
      <c r="L921" s="123"/>
      <c r="M921" s="123"/>
      <c r="N921" s="123"/>
      <c r="O921" s="123"/>
      <c r="P921" s="123"/>
      <c r="Q921" s="123"/>
      <c r="R921" s="123"/>
      <c r="S921" s="123"/>
      <c r="T921" s="123"/>
      <c r="U921" s="123"/>
      <c r="V921" s="123"/>
      <c r="W921" s="123"/>
      <c r="X921" s="123"/>
      <c r="Y921" s="123"/>
      <c r="Z921" s="123"/>
      <c r="AA921" s="123"/>
    </row>
    <row r="922" spans="9:27" ht="13.8">
      <c r="I922" s="123"/>
      <c r="J922" s="123"/>
      <c r="K922" s="123"/>
      <c r="L922" s="123"/>
      <c r="M922" s="123"/>
      <c r="N922" s="123"/>
      <c r="O922" s="123"/>
      <c r="P922" s="123"/>
      <c r="Q922" s="123"/>
      <c r="R922" s="123"/>
      <c r="S922" s="123"/>
      <c r="T922" s="123"/>
      <c r="U922" s="123"/>
      <c r="V922" s="123"/>
      <c r="W922" s="123"/>
      <c r="X922" s="123"/>
      <c r="Y922" s="123"/>
      <c r="Z922" s="123"/>
      <c r="AA922" s="123"/>
    </row>
    <row r="923" spans="9:27" ht="13.8">
      <c r="I923" s="123"/>
      <c r="J923" s="123"/>
      <c r="K923" s="123"/>
      <c r="L923" s="123"/>
      <c r="M923" s="123"/>
      <c r="N923" s="123"/>
      <c r="O923" s="123"/>
      <c r="P923" s="123"/>
      <c r="Q923" s="123"/>
      <c r="R923" s="123"/>
      <c r="S923" s="123"/>
      <c r="T923" s="123"/>
      <c r="U923" s="123"/>
      <c r="V923" s="123"/>
      <c r="W923" s="123"/>
      <c r="X923" s="123"/>
      <c r="Y923" s="123"/>
      <c r="Z923" s="123"/>
      <c r="AA923" s="123"/>
    </row>
    <row r="924" spans="9:27" ht="13.8">
      <c r="I924" s="123"/>
      <c r="J924" s="123"/>
      <c r="K924" s="123"/>
      <c r="L924" s="123"/>
      <c r="M924" s="123"/>
      <c r="N924" s="123"/>
      <c r="O924" s="123"/>
      <c r="P924" s="123"/>
      <c r="Q924" s="123"/>
      <c r="R924" s="123"/>
      <c r="S924" s="123"/>
      <c r="T924" s="123"/>
      <c r="U924" s="123"/>
      <c r="V924" s="123"/>
      <c r="W924" s="123"/>
      <c r="X924" s="123"/>
      <c r="Y924" s="123"/>
      <c r="Z924" s="123"/>
      <c r="AA924" s="123"/>
    </row>
    <row r="925" spans="9:27" ht="13.8">
      <c r="I925" s="123"/>
      <c r="J925" s="123"/>
      <c r="K925" s="123"/>
      <c r="L925" s="123"/>
      <c r="M925" s="123"/>
      <c r="N925" s="123"/>
      <c r="O925" s="123"/>
      <c r="P925" s="123"/>
      <c r="Q925" s="123"/>
      <c r="R925" s="123"/>
      <c r="S925" s="123"/>
      <c r="T925" s="123"/>
      <c r="U925" s="123"/>
      <c r="V925" s="123"/>
      <c r="W925" s="123"/>
      <c r="X925" s="123"/>
      <c r="Y925" s="123"/>
      <c r="Z925" s="123"/>
      <c r="AA925" s="123"/>
    </row>
    <row r="926" spans="9:27" ht="13.8">
      <c r="I926" s="123"/>
      <c r="J926" s="123"/>
      <c r="K926" s="123"/>
      <c r="L926" s="123"/>
      <c r="M926" s="123"/>
      <c r="N926" s="123"/>
      <c r="O926" s="123"/>
      <c r="P926" s="123"/>
      <c r="Q926" s="123"/>
      <c r="R926" s="123"/>
      <c r="S926" s="123"/>
      <c r="T926" s="123"/>
      <c r="U926" s="123"/>
      <c r="V926" s="123"/>
      <c r="W926" s="123"/>
      <c r="X926" s="123"/>
      <c r="Y926" s="123"/>
      <c r="Z926" s="123"/>
      <c r="AA926" s="123"/>
    </row>
    <row r="927" spans="9:27" ht="13.8">
      <c r="I927" s="123"/>
      <c r="J927" s="123"/>
      <c r="K927" s="123"/>
      <c r="L927" s="123"/>
      <c r="M927" s="123"/>
      <c r="N927" s="123"/>
      <c r="O927" s="123"/>
      <c r="P927" s="123"/>
      <c r="Q927" s="123"/>
      <c r="R927" s="123"/>
      <c r="S927" s="123"/>
      <c r="T927" s="123"/>
      <c r="U927" s="123"/>
      <c r="V927" s="123"/>
      <c r="W927" s="123"/>
      <c r="X927" s="123"/>
      <c r="Y927" s="123"/>
      <c r="Z927" s="123"/>
      <c r="AA927" s="123"/>
    </row>
    <row r="928" spans="9:27" ht="13.8">
      <c r="I928" s="123"/>
      <c r="J928" s="123"/>
      <c r="K928" s="123"/>
      <c r="L928" s="123"/>
      <c r="M928" s="123"/>
      <c r="N928" s="123"/>
      <c r="O928" s="123"/>
      <c r="P928" s="123"/>
      <c r="Q928" s="123"/>
      <c r="R928" s="123"/>
      <c r="S928" s="123"/>
      <c r="T928" s="123"/>
      <c r="U928" s="123"/>
      <c r="V928" s="123"/>
      <c r="W928" s="123"/>
      <c r="X928" s="123"/>
      <c r="Y928" s="123"/>
      <c r="Z928" s="123"/>
      <c r="AA928" s="123"/>
    </row>
    <row r="929" spans="9:27" ht="13.8">
      <c r="I929" s="123"/>
      <c r="J929" s="123"/>
      <c r="K929" s="123"/>
      <c r="L929" s="123"/>
      <c r="M929" s="123"/>
      <c r="N929" s="123"/>
      <c r="O929" s="123"/>
      <c r="P929" s="123"/>
      <c r="Q929" s="123"/>
      <c r="R929" s="123"/>
      <c r="S929" s="123"/>
      <c r="T929" s="123"/>
      <c r="U929" s="123"/>
      <c r="V929" s="123"/>
      <c r="W929" s="123"/>
      <c r="X929" s="123"/>
      <c r="Y929" s="123"/>
      <c r="Z929" s="123"/>
      <c r="AA929" s="123"/>
    </row>
    <row r="930" spans="9:27" ht="13.8">
      <c r="I930" s="123"/>
      <c r="J930" s="123"/>
      <c r="K930" s="123"/>
      <c r="L930" s="123"/>
      <c r="M930" s="123"/>
      <c r="N930" s="123"/>
      <c r="O930" s="123"/>
      <c r="P930" s="123"/>
      <c r="Q930" s="123"/>
      <c r="R930" s="123"/>
      <c r="S930" s="123"/>
      <c r="T930" s="123"/>
      <c r="U930" s="123"/>
      <c r="V930" s="123"/>
      <c r="W930" s="123"/>
      <c r="X930" s="123"/>
      <c r="Y930" s="123"/>
      <c r="Z930" s="123"/>
      <c r="AA930" s="123"/>
    </row>
    <row r="931" spans="9:27" ht="13.8">
      <c r="I931" s="123"/>
      <c r="J931" s="123"/>
      <c r="K931" s="123"/>
      <c r="L931" s="123"/>
      <c r="M931" s="123"/>
      <c r="N931" s="123"/>
      <c r="O931" s="123"/>
      <c r="P931" s="123"/>
      <c r="Q931" s="123"/>
      <c r="R931" s="123"/>
      <c r="S931" s="123"/>
      <c r="T931" s="123"/>
      <c r="U931" s="123"/>
      <c r="V931" s="123"/>
      <c r="W931" s="123"/>
      <c r="X931" s="123"/>
      <c r="Y931" s="123"/>
      <c r="Z931" s="123"/>
      <c r="AA931" s="123"/>
    </row>
    <row r="932" spans="9:27" ht="13.8">
      <c r="I932" s="123"/>
      <c r="J932" s="123"/>
      <c r="K932" s="123"/>
      <c r="L932" s="123"/>
      <c r="M932" s="123"/>
      <c r="N932" s="123"/>
      <c r="O932" s="123"/>
      <c r="P932" s="123"/>
      <c r="Q932" s="123"/>
      <c r="R932" s="123"/>
      <c r="S932" s="123"/>
      <c r="T932" s="123"/>
      <c r="U932" s="123"/>
      <c r="V932" s="123"/>
      <c r="W932" s="123"/>
      <c r="X932" s="123"/>
      <c r="Y932" s="123"/>
      <c r="Z932" s="123"/>
      <c r="AA932" s="123"/>
    </row>
    <row r="933" spans="9:27" ht="13.8">
      <c r="I933" s="123"/>
      <c r="J933" s="123"/>
      <c r="K933" s="123"/>
      <c r="L933" s="123"/>
      <c r="M933" s="123"/>
      <c r="N933" s="123"/>
      <c r="O933" s="123"/>
      <c r="P933" s="123"/>
      <c r="Q933" s="123"/>
      <c r="R933" s="123"/>
      <c r="S933" s="123"/>
      <c r="T933" s="123"/>
      <c r="U933" s="123"/>
      <c r="V933" s="123"/>
      <c r="W933" s="123"/>
      <c r="X933" s="123"/>
      <c r="Y933" s="123"/>
      <c r="Z933" s="123"/>
      <c r="AA933" s="123"/>
    </row>
    <row r="934" spans="9:27" ht="13.8">
      <c r="I934" s="123"/>
      <c r="J934" s="123"/>
      <c r="K934" s="123"/>
      <c r="L934" s="123"/>
      <c r="M934" s="123"/>
      <c r="N934" s="123"/>
      <c r="O934" s="123"/>
      <c r="P934" s="123"/>
      <c r="Q934" s="123"/>
      <c r="R934" s="123"/>
      <c r="S934" s="123"/>
      <c r="T934" s="123"/>
      <c r="U934" s="123"/>
      <c r="V934" s="123"/>
      <c r="W934" s="123"/>
      <c r="X934" s="123"/>
      <c r="Y934" s="123"/>
      <c r="Z934" s="123"/>
      <c r="AA934" s="123"/>
    </row>
    <row r="935" spans="9:27" ht="13.8">
      <c r="I935" s="123"/>
      <c r="J935" s="123"/>
      <c r="K935" s="123"/>
      <c r="L935" s="123"/>
      <c r="M935" s="123"/>
      <c r="N935" s="123"/>
      <c r="O935" s="123"/>
      <c r="P935" s="123"/>
      <c r="Q935" s="123"/>
      <c r="R935" s="123"/>
      <c r="S935" s="123"/>
      <c r="T935" s="123"/>
      <c r="U935" s="123"/>
      <c r="V935" s="123"/>
      <c r="W935" s="123"/>
      <c r="X935" s="123"/>
      <c r="Y935" s="123"/>
      <c r="Z935" s="123"/>
      <c r="AA935" s="123"/>
    </row>
    <row r="936" spans="9:27" ht="13.8">
      <c r="I936" s="123"/>
      <c r="J936" s="123"/>
      <c r="K936" s="123"/>
      <c r="L936" s="123"/>
      <c r="M936" s="123"/>
      <c r="N936" s="123"/>
      <c r="O936" s="123"/>
      <c r="P936" s="123"/>
      <c r="Q936" s="123"/>
      <c r="R936" s="123"/>
      <c r="S936" s="123"/>
      <c r="T936" s="123"/>
      <c r="U936" s="123"/>
      <c r="V936" s="123"/>
      <c r="W936" s="123"/>
      <c r="X936" s="123"/>
      <c r="Y936" s="123"/>
      <c r="Z936" s="123"/>
      <c r="AA936" s="123"/>
    </row>
    <row r="937" spans="9:27" ht="13.8">
      <c r="I937" s="123"/>
      <c r="J937" s="123"/>
      <c r="K937" s="123"/>
      <c r="L937" s="123"/>
      <c r="M937" s="123"/>
      <c r="N937" s="123"/>
      <c r="O937" s="123"/>
      <c r="P937" s="123"/>
      <c r="Q937" s="123"/>
      <c r="R937" s="123"/>
      <c r="S937" s="123"/>
      <c r="T937" s="123"/>
      <c r="U937" s="123"/>
      <c r="V937" s="123"/>
      <c r="W937" s="123"/>
      <c r="X937" s="123"/>
      <c r="Y937" s="123"/>
      <c r="Z937" s="123"/>
      <c r="AA937" s="123"/>
    </row>
    <row r="938" spans="9:27" ht="13.8">
      <c r="I938" s="123"/>
      <c r="J938" s="123"/>
      <c r="K938" s="123"/>
      <c r="L938" s="123"/>
      <c r="M938" s="123"/>
      <c r="N938" s="123"/>
      <c r="O938" s="123"/>
      <c r="P938" s="123"/>
      <c r="Q938" s="123"/>
      <c r="R938" s="123"/>
      <c r="S938" s="123"/>
      <c r="T938" s="123"/>
      <c r="U938" s="123"/>
      <c r="V938" s="123"/>
      <c r="W938" s="123"/>
      <c r="X938" s="123"/>
      <c r="Y938" s="123"/>
      <c r="Z938" s="123"/>
      <c r="AA938" s="123"/>
    </row>
    <row r="939" spans="9:27" ht="13.8">
      <c r="I939" s="123"/>
      <c r="J939" s="123"/>
      <c r="K939" s="123"/>
      <c r="L939" s="123"/>
      <c r="M939" s="123"/>
      <c r="N939" s="123"/>
      <c r="O939" s="123"/>
      <c r="P939" s="123"/>
      <c r="Q939" s="123"/>
      <c r="R939" s="123"/>
      <c r="S939" s="123"/>
      <c r="T939" s="123"/>
      <c r="U939" s="123"/>
      <c r="V939" s="123"/>
      <c r="W939" s="123"/>
      <c r="X939" s="123"/>
      <c r="Y939" s="123"/>
      <c r="Z939" s="123"/>
      <c r="AA939" s="123"/>
    </row>
    <row r="940" spans="9:27" ht="13.8">
      <c r="I940" s="123"/>
      <c r="J940" s="123"/>
      <c r="K940" s="123"/>
      <c r="L940" s="123"/>
      <c r="M940" s="123"/>
      <c r="N940" s="123"/>
      <c r="O940" s="123"/>
      <c r="P940" s="123"/>
      <c r="Q940" s="123"/>
      <c r="R940" s="123"/>
      <c r="S940" s="123"/>
      <c r="T940" s="123"/>
      <c r="U940" s="123"/>
      <c r="V940" s="123"/>
      <c r="W940" s="123"/>
      <c r="X940" s="123"/>
      <c r="Y940" s="123"/>
      <c r="Z940" s="123"/>
      <c r="AA940" s="123"/>
    </row>
    <row r="941" spans="9:27" ht="13.8">
      <c r="I941" s="123"/>
      <c r="J941" s="123"/>
      <c r="K941" s="123"/>
      <c r="L941" s="123"/>
      <c r="M941" s="123"/>
      <c r="N941" s="123"/>
      <c r="O941" s="123"/>
      <c r="P941" s="123"/>
      <c r="Q941" s="123"/>
      <c r="R941" s="123"/>
      <c r="S941" s="123"/>
      <c r="T941" s="123"/>
      <c r="U941" s="123"/>
      <c r="V941" s="123"/>
      <c r="W941" s="123"/>
      <c r="X941" s="123"/>
      <c r="Y941" s="123"/>
      <c r="Z941" s="123"/>
      <c r="AA941" s="123"/>
    </row>
    <row r="942" spans="9:27" ht="13.8">
      <c r="I942" s="123"/>
      <c r="J942" s="123"/>
      <c r="K942" s="123"/>
      <c r="L942" s="123"/>
      <c r="M942" s="123"/>
      <c r="N942" s="123"/>
      <c r="O942" s="123"/>
      <c r="P942" s="123"/>
      <c r="Q942" s="123"/>
      <c r="R942" s="123"/>
      <c r="S942" s="123"/>
      <c r="T942" s="123"/>
      <c r="U942" s="123"/>
      <c r="V942" s="123"/>
      <c r="W942" s="123"/>
      <c r="X942" s="123"/>
      <c r="Y942" s="123"/>
      <c r="Z942" s="123"/>
      <c r="AA942" s="123"/>
    </row>
    <row r="943" spans="9:27" ht="13.8">
      <c r="I943" s="123"/>
      <c r="J943" s="123"/>
      <c r="K943" s="123"/>
      <c r="L943" s="123"/>
      <c r="M943" s="123"/>
      <c r="N943" s="123"/>
      <c r="O943" s="123"/>
      <c r="P943" s="123"/>
      <c r="Q943" s="123"/>
      <c r="R943" s="123"/>
      <c r="S943" s="123"/>
      <c r="T943" s="123"/>
      <c r="U943" s="123"/>
      <c r="V943" s="123"/>
      <c r="W943" s="123"/>
      <c r="X943" s="123"/>
      <c r="Y943" s="123"/>
      <c r="Z943" s="123"/>
      <c r="AA943" s="123"/>
    </row>
    <row r="944" spans="9:27" ht="13.8">
      <c r="I944" s="123"/>
      <c r="J944" s="123"/>
      <c r="K944" s="123"/>
      <c r="L944" s="123"/>
      <c r="M944" s="123"/>
      <c r="N944" s="123"/>
      <c r="O944" s="123"/>
      <c r="P944" s="123"/>
      <c r="Q944" s="123"/>
      <c r="R944" s="123"/>
      <c r="S944" s="123"/>
      <c r="T944" s="123"/>
      <c r="U944" s="123"/>
      <c r="V944" s="123"/>
      <c r="W944" s="123"/>
      <c r="X944" s="123"/>
      <c r="Y944" s="123"/>
      <c r="Z944" s="123"/>
      <c r="AA944" s="123"/>
    </row>
    <row r="945" spans="9:27" ht="13.8">
      <c r="I945" s="123"/>
      <c r="J945" s="123"/>
      <c r="K945" s="123"/>
      <c r="L945" s="123"/>
      <c r="M945" s="123"/>
      <c r="N945" s="123"/>
      <c r="O945" s="123"/>
      <c r="P945" s="123"/>
      <c r="Q945" s="123"/>
      <c r="R945" s="123"/>
      <c r="S945" s="123"/>
      <c r="T945" s="123"/>
      <c r="U945" s="123"/>
      <c r="V945" s="123"/>
      <c r="W945" s="123"/>
      <c r="X945" s="123"/>
      <c r="Y945" s="123"/>
      <c r="Z945" s="123"/>
      <c r="AA945" s="123"/>
    </row>
    <row r="946" spans="9:27" ht="13.8">
      <c r="I946" s="123"/>
      <c r="J946" s="123"/>
      <c r="K946" s="123"/>
      <c r="L946" s="123"/>
      <c r="M946" s="123"/>
      <c r="N946" s="123"/>
      <c r="O946" s="123"/>
      <c r="P946" s="123"/>
      <c r="Q946" s="123"/>
      <c r="R946" s="123"/>
      <c r="S946" s="123"/>
      <c r="T946" s="123"/>
      <c r="U946" s="123"/>
      <c r="V946" s="123"/>
      <c r="W946" s="123"/>
      <c r="X946" s="123"/>
      <c r="Y946" s="123"/>
      <c r="Z946" s="123"/>
      <c r="AA946" s="123"/>
    </row>
    <row r="947" spans="9:27" ht="13.8">
      <c r="I947" s="123"/>
      <c r="J947" s="123"/>
      <c r="K947" s="123"/>
      <c r="L947" s="123"/>
      <c r="M947" s="123"/>
      <c r="N947" s="123"/>
      <c r="O947" s="123"/>
      <c r="P947" s="123"/>
      <c r="Q947" s="123"/>
      <c r="R947" s="123"/>
      <c r="S947" s="123"/>
      <c r="T947" s="123"/>
      <c r="U947" s="123"/>
      <c r="V947" s="123"/>
      <c r="W947" s="123"/>
      <c r="X947" s="123"/>
      <c r="Y947" s="123"/>
      <c r="Z947" s="123"/>
      <c r="AA947" s="123"/>
    </row>
    <row r="948" spans="9:27" ht="13.8">
      <c r="I948" s="123"/>
      <c r="J948" s="123"/>
      <c r="K948" s="123"/>
      <c r="L948" s="123"/>
      <c r="M948" s="123"/>
      <c r="N948" s="123"/>
      <c r="O948" s="123"/>
      <c r="P948" s="123"/>
      <c r="Q948" s="123"/>
      <c r="R948" s="123"/>
      <c r="S948" s="123"/>
      <c r="T948" s="123"/>
      <c r="U948" s="123"/>
      <c r="V948" s="123"/>
      <c r="W948" s="123"/>
      <c r="X948" s="123"/>
      <c r="Y948" s="123"/>
      <c r="Z948" s="123"/>
      <c r="AA948" s="123"/>
    </row>
    <row r="949" spans="9:27" ht="13.8">
      <c r="I949" s="123"/>
      <c r="J949" s="123"/>
      <c r="K949" s="123"/>
      <c r="L949" s="123"/>
      <c r="M949" s="123"/>
      <c r="N949" s="123"/>
      <c r="O949" s="123"/>
      <c r="P949" s="123"/>
      <c r="Q949" s="123"/>
      <c r="R949" s="123"/>
      <c r="S949" s="123"/>
      <c r="T949" s="123"/>
      <c r="U949" s="123"/>
      <c r="V949" s="123"/>
      <c r="W949" s="123"/>
      <c r="X949" s="123"/>
      <c r="Y949" s="123"/>
      <c r="Z949" s="123"/>
      <c r="AA949" s="123"/>
    </row>
    <row r="950" spans="9:27" ht="13.8">
      <c r="I950" s="123"/>
      <c r="J950" s="123"/>
      <c r="K950" s="123"/>
      <c r="L950" s="123"/>
      <c r="M950" s="123"/>
      <c r="N950" s="123"/>
      <c r="O950" s="123"/>
      <c r="P950" s="123"/>
      <c r="Q950" s="123"/>
      <c r="R950" s="123"/>
      <c r="S950" s="123"/>
      <c r="T950" s="123"/>
      <c r="U950" s="123"/>
      <c r="V950" s="123"/>
      <c r="W950" s="123"/>
      <c r="X950" s="123"/>
      <c r="Y950" s="123"/>
      <c r="Z950" s="123"/>
      <c r="AA950" s="123"/>
    </row>
    <row r="951" spans="9:27" ht="13.8">
      <c r="I951" s="123"/>
      <c r="J951" s="123"/>
      <c r="K951" s="123"/>
      <c r="L951" s="123"/>
      <c r="M951" s="123"/>
      <c r="N951" s="123"/>
      <c r="O951" s="123"/>
      <c r="P951" s="123"/>
      <c r="Q951" s="123"/>
      <c r="R951" s="123"/>
      <c r="S951" s="123"/>
      <c r="T951" s="123"/>
      <c r="U951" s="123"/>
      <c r="V951" s="123"/>
      <c r="W951" s="123"/>
      <c r="X951" s="123"/>
      <c r="Y951" s="123"/>
      <c r="Z951" s="123"/>
      <c r="AA951" s="123"/>
    </row>
    <row r="952" spans="9:27" ht="13.8">
      <c r="I952" s="123"/>
      <c r="J952" s="123"/>
      <c r="K952" s="123"/>
      <c r="L952" s="123"/>
      <c r="M952" s="123"/>
      <c r="N952" s="123"/>
      <c r="O952" s="123"/>
      <c r="P952" s="123"/>
      <c r="Q952" s="123"/>
      <c r="R952" s="123"/>
      <c r="S952" s="123"/>
      <c r="T952" s="123"/>
      <c r="U952" s="123"/>
      <c r="V952" s="123"/>
      <c r="W952" s="123"/>
      <c r="X952" s="123"/>
      <c r="Y952" s="123"/>
      <c r="Z952" s="123"/>
      <c r="AA952" s="123"/>
    </row>
    <row r="953" spans="9:27" ht="13.8">
      <c r="I953" s="123"/>
      <c r="J953" s="123"/>
      <c r="K953" s="123"/>
      <c r="L953" s="123"/>
      <c r="M953" s="123"/>
      <c r="N953" s="123"/>
      <c r="O953" s="123"/>
      <c r="P953" s="123"/>
      <c r="Q953" s="123"/>
      <c r="R953" s="123"/>
      <c r="S953" s="123"/>
      <c r="T953" s="123"/>
      <c r="U953" s="123"/>
      <c r="V953" s="123"/>
      <c r="W953" s="123"/>
      <c r="X953" s="123"/>
      <c r="Y953" s="123"/>
      <c r="Z953" s="123"/>
      <c r="AA953" s="123"/>
    </row>
    <row r="954" spans="9:27" ht="13.8">
      <c r="I954" s="123"/>
      <c r="J954" s="123"/>
      <c r="K954" s="123"/>
      <c r="L954" s="123"/>
      <c r="M954" s="123"/>
      <c r="N954" s="123"/>
      <c r="O954" s="123"/>
      <c r="P954" s="123"/>
      <c r="Q954" s="123"/>
      <c r="R954" s="123"/>
      <c r="S954" s="123"/>
      <c r="T954" s="123"/>
      <c r="U954" s="123"/>
      <c r="V954" s="123"/>
      <c r="W954" s="123"/>
      <c r="X954" s="123"/>
      <c r="Y954" s="123"/>
      <c r="Z954" s="123"/>
      <c r="AA954" s="123"/>
    </row>
    <row r="955" spans="9:27" ht="13.8">
      <c r="I955" s="123"/>
      <c r="J955" s="123"/>
      <c r="K955" s="123"/>
      <c r="L955" s="123"/>
      <c r="M955" s="123"/>
      <c r="N955" s="123"/>
      <c r="O955" s="123"/>
      <c r="P955" s="123"/>
      <c r="Q955" s="123"/>
      <c r="R955" s="123"/>
      <c r="S955" s="123"/>
      <c r="T955" s="123"/>
      <c r="U955" s="123"/>
      <c r="V955" s="123"/>
      <c r="W955" s="123"/>
      <c r="X955" s="123"/>
      <c r="Y955" s="123"/>
      <c r="Z955" s="123"/>
      <c r="AA955" s="123"/>
    </row>
    <row r="956" spans="9:27" ht="13.8">
      <c r="I956" s="123"/>
      <c r="J956" s="123"/>
      <c r="K956" s="123"/>
      <c r="L956" s="123"/>
      <c r="M956" s="123"/>
      <c r="N956" s="123"/>
      <c r="O956" s="123"/>
      <c r="P956" s="123"/>
      <c r="Q956" s="123"/>
      <c r="R956" s="123"/>
      <c r="S956" s="123"/>
      <c r="T956" s="123"/>
      <c r="U956" s="123"/>
      <c r="V956" s="123"/>
      <c r="W956" s="123"/>
      <c r="X956" s="123"/>
      <c r="Y956" s="123"/>
      <c r="Z956" s="123"/>
      <c r="AA956" s="123"/>
    </row>
    <row r="957" spans="9:27" ht="13.8">
      <c r="I957" s="123"/>
      <c r="J957" s="123"/>
      <c r="K957" s="123"/>
      <c r="L957" s="123"/>
      <c r="M957" s="123"/>
      <c r="N957" s="123"/>
      <c r="O957" s="123"/>
      <c r="P957" s="123"/>
      <c r="Q957" s="123"/>
      <c r="R957" s="123"/>
      <c r="S957" s="123"/>
      <c r="T957" s="123"/>
      <c r="U957" s="123"/>
      <c r="V957" s="123"/>
      <c r="W957" s="123"/>
      <c r="X957" s="123"/>
      <c r="Y957" s="123"/>
      <c r="Z957" s="123"/>
      <c r="AA957" s="123"/>
    </row>
    <row r="958" spans="9:27" ht="13.8">
      <c r="I958" s="123"/>
      <c r="J958" s="123"/>
      <c r="K958" s="123"/>
      <c r="L958" s="123"/>
      <c r="M958" s="123"/>
      <c r="N958" s="123"/>
      <c r="O958" s="123"/>
      <c r="P958" s="123"/>
      <c r="Q958" s="123"/>
      <c r="R958" s="123"/>
      <c r="S958" s="123"/>
      <c r="T958" s="123"/>
      <c r="U958" s="123"/>
      <c r="V958" s="123"/>
      <c r="W958" s="123"/>
      <c r="X958" s="123"/>
      <c r="Y958" s="123"/>
      <c r="Z958" s="123"/>
      <c r="AA958" s="123"/>
    </row>
    <row r="959" spans="9:27" ht="13.8">
      <c r="I959" s="123"/>
      <c r="J959" s="123"/>
      <c r="K959" s="123"/>
      <c r="L959" s="123"/>
      <c r="M959" s="123"/>
      <c r="N959" s="123"/>
      <c r="O959" s="123"/>
      <c r="P959" s="123"/>
      <c r="Q959" s="123"/>
      <c r="R959" s="123"/>
      <c r="S959" s="123"/>
      <c r="T959" s="123"/>
      <c r="U959" s="123"/>
      <c r="V959" s="123"/>
      <c r="W959" s="123"/>
      <c r="X959" s="123"/>
      <c r="Y959" s="123"/>
      <c r="Z959" s="123"/>
      <c r="AA959" s="123"/>
    </row>
    <row r="960" spans="9:27" ht="13.8">
      <c r="I960" s="123"/>
      <c r="J960" s="123"/>
      <c r="K960" s="123"/>
      <c r="L960" s="123"/>
      <c r="M960" s="123"/>
      <c r="N960" s="123"/>
      <c r="O960" s="123"/>
      <c r="P960" s="123"/>
      <c r="Q960" s="123"/>
      <c r="R960" s="123"/>
      <c r="S960" s="123"/>
      <c r="T960" s="123"/>
      <c r="U960" s="123"/>
      <c r="V960" s="123"/>
      <c r="W960" s="123"/>
      <c r="X960" s="123"/>
      <c r="Y960" s="123"/>
      <c r="Z960" s="123"/>
      <c r="AA960" s="123"/>
    </row>
    <row r="961" spans="9:27" ht="13.8">
      <c r="I961" s="123"/>
      <c r="J961" s="123"/>
      <c r="K961" s="123"/>
      <c r="L961" s="123"/>
      <c r="M961" s="123"/>
      <c r="N961" s="123"/>
      <c r="O961" s="123"/>
      <c r="P961" s="123"/>
      <c r="Q961" s="123"/>
      <c r="R961" s="123"/>
      <c r="S961" s="123"/>
      <c r="T961" s="123"/>
      <c r="U961" s="123"/>
      <c r="V961" s="123"/>
      <c r="W961" s="123"/>
      <c r="X961" s="123"/>
      <c r="Y961" s="123"/>
      <c r="Z961" s="123"/>
      <c r="AA961" s="123"/>
    </row>
    <row r="962" spans="9:27" ht="13.8">
      <c r="I962" s="123"/>
      <c r="J962" s="123"/>
      <c r="K962" s="123"/>
      <c r="L962" s="123"/>
      <c r="M962" s="123"/>
      <c r="N962" s="123"/>
      <c r="O962" s="123"/>
      <c r="P962" s="123"/>
      <c r="Q962" s="123"/>
      <c r="R962" s="123"/>
      <c r="S962" s="123"/>
      <c r="T962" s="123"/>
      <c r="U962" s="123"/>
      <c r="V962" s="123"/>
      <c r="W962" s="123"/>
      <c r="X962" s="123"/>
      <c r="Y962" s="123"/>
      <c r="Z962" s="123"/>
      <c r="AA962" s="123"/>
    </row>
    <row r="963" spans="9:27" ht="13.8">
      <c r="I963" s="123"/>
      <c r="J963" s="123"/>
      <c r="K963" s="123"/>
      <c r="L963" s="123"/>
      <c r="M963" s="123"/>
      <c r="N963" s="123"/>
      <c r="O963" s="123"/>
      <c r="P963" s="123"/>
      <c r="Q963" s="123"/>
      <c r="R963" s="123"/>
      <c r="S963" s="123"/>
      <c r="T963" s="123"/>
      <c r="U963" s="123"/>
      <c r="V963" s="123"/>
      <c r="W963" s="123"/>
      <c r="X963" s="123"/>
      <c r="Y963" s="123"/>
      <c r="Z963" s="123"/>
      <c r="AA963" s="123"/>
    </row>
    <row r="964" spans="9:27" ht="13.8">
      <c r="I964" s="123"/>
      <c r="J964" s="123"/>
      <c r="K964" s="123"/>
      <c r="L964" s="123"/>
      <c r="M964" s="123"/>
      <c r="N964" s="123"/>
      <c r="O964" s="123"/>
      <c r="P964" s="123"/>
      <c r="Q964" s="123"/>
      <c r="R964" s="123"/>
      <c r="S964" s="123"/>
      <c r="T964" s="123"/>
      <c r="U964" s="123"/>
      <c r="V964" s="123"/>
      <c r="W964" s="123"/>
      <c r="X964" s="123"/>
      <c r="Y964" s="123"/>
      <c r="Z964" s="123"/>
      <c r="AA964" s="123"/>
    </row>
    <row r="965" spans="9:27" ht="13.8">
      <c r="I965" s="123"/>
      <c r="J965" s="123"/>
      <c r="K965" s="123"/>
      <c r="L965" s="123"/>
      <c r="M965" s="123"/>
      <c r="N965" s="123"/>
      <c r="O965" s="123"/>
      <c r="P965" s="123"/>
      <c r="Q965" s="123"/>
      <c r="R965" s="123"/>
      <c r="S965" s="123"/>
      <c r="T965" s="123"/>
      <c r="U965" s="123"/>
      <c r="V965" s="123"/>
      <c r="W965" s="123"/>
      <c r="X965" s="123"/>
      <c r="Y965" s="123"/>
      <c r="Z965" s="123"/>
      <c r="AA965" s="123"/>
    </row>
    <row r="966" spans="9:27" ht="13.8">
      <c r="I966" s="123"/>
      <c r="J966" s="123"/>
      <c r="K966" s="123"/>
      <c r="L966" s="123"/>
      <c r="M966" s="123"/>
      <c r="N966" s="123"/>
      <c r="O966" s="123"/>
      <c r="P966" s="123"/>
      <c r="Q966" s="123"/>
      <c r="R966" s="123"/>
      <c r="S966" s="123"/>
      <c r="T966" s="123"/>
      <c r="U966" s="123"/>
      <c r="V966" s="123"/>
      <c r="W966" s="123"/>
      <c r="X966" s="123"/>
      <c r="Y966" s="123"/>
      <c r="Z966" s="123"/>
      <c r="AA966" s="123"/>
    </row>
    <row r="967" spans="9:27" ht="13.8">
      <c r="I967" s="123"/>
      <c r="J967" s="123"/>
      <c r="K967" s="123"/>
      <c r="L967" s="123"/>
      <c r="M967" s="123"/>
      <c r="N967" s="123"/>
      <c r="O967" s="123"/>
      <c r="P967" s="123"/>
      <c r="Q967" s="123"/>
      <c r="R967" s="123"/>
      <c r="S967" s="123"/>
      <c r="T967" s="123"/>
      <c r="U967" s="123"/>
      <c r="V967" s="123"/>
      <c r="W967" s="123"/>
      <c r="X967" s="123"/>
      <c r="Y967" s="123"/>
      <c r="Z967" s="123"/>
      <c r="AA967" s="123"/>
    </row>
    <row r="968" spans="9:27" ht="13.8">
      <c r="I968" s="123"/>
      <c r="J968" s="123"/>
      <c r="K968" s="123"/>
      <c r="L968" s="123"/>
      <c r="M968" s="123"/>
      <c r="N968" s="123"/>
      <c r="O968" s="123"/>
      <c r="P968" s="123"/>
      <c r="Q968" s="123"/>
      <c r="R968" s="123"/>
      <c r="S968" s="123"/>
      <c r="T968" s="123"/>
      <c r="U968" s="123"/>
      <c r="V968" s="123"/>
      <c r="W968" s="123"/>
      <c r="X968" s="123"/>
      <c r="Y968" s="123"/>
      <c r="Z968" s="123"/>
      <c r="AA968" s="123"/>
    </row>
    <row r="969" spans="9:27" ht="13.8">
      <c r="I969" s="123"/>
      <c r="J969" s="123"/>
      <c r="K969" s="123"/>
      <c r="L969" s="123"/>
      <c r="M969" s="123"/>
      <c r="N969" s="123"/>
      <c r="O969" s="123"/>
      <c r="P969" s="123"/>
      <c r="Q969" s="123"/>
      <c r="R969" s="123"/>
      <c r="S969" s="123"/>
      <c r="T969" s="123"/>
      <c r="U969" s="123"/>
      <c r="V969" s="123"/>
      <c r="W969" s="123"/>
      <c r="X969" s="123"/>
      <c r="Y969" s="123"/>
      <c r="Z969" s="123"/>
      <c r="AA969" s="123"/>
    </row>
    <row r="970" spans="9:27" ht="13.8">
      <c r="I970" s="123"/>
      <c r="J970" s="123"/>
      <c r="K970" s="123"/>
      <c r="L970" s="123"/>
      <c r="M970" s="123"/>
      <c r="N970" s="123"/>
      <c r="O970" s="123"/>
      <c r="P970" s="123"/>
      <c r="Q970" s="123"/>
      <c r="R970" s="123"/>
      <c r="S970" s="123"/>
      <c r="T970" s="123"/>
      <c r="U970" s="123"/>
      <c r="V970" s="123"/>
      <c r="W970" s="123"/>
      <c r="X970" s="123"/>
      <c r="Y970" s="123"/>
      <c r="Z970" s="123"/>
      <c r="AA970" s="123"/>
    </row>
    <row r="971" spans="9:27" ht="13.8">
      <c r="I971" s="123"/>
      <c r="J971" s="123"/>
      <c r="K971" s="123"/>
      <c r="L971" s="123"/>
      <c r="M971" s="123"/>
      <c r="N971" s="123"/>
      <c r="O971" s="123"/>
      <c r="P971" s="123"/>
      <c r="Q971" s="123"/>
      <c r="R971" s="123"/>
      <c r="S971" s="123"/>
      <c r="T971" s="123"/>
      <c r="U971" s="123"/>
      <c r="V971" s="123"/>
      <c r="W971" s="123"/>
      <c r="X971" s="123"/>
      <c r="Y971" s="123"/>
      <c r="Z971" s="123"/>
      <c r="AA971" s="123"/>
    </row>
    <row r="972" spans="9:27" ht="13.8">
      <c r="I972" s="123"/>
      <c r="J972" s="123"/>
      <c r="K972" s="123"/>
      <c r="L972" s="123"/>
      <c r="M972" s="123"/>
      <c r="N972" s="123"/>
      <c r="O972" s="123"/>
      <c r="P972" s="123"/>
      <c r="Q972" s="123"/>
      <c r="R972" s="123"/>
      <c r="S972" s="123"/>
      <c r="T972" s="123"/>
      <c r="U972" s="123"/>
      <c r="V972" s="123"/>
      <c r="W972" s="123"/>
      <c r="X972" s="123"/>
      <c r="Y972" s="123"/>
      <c r="Z972" s="123"/>
      <c r="AA972" s="123"/>
    </row>
    <row r="973" spans="9:27" ht="13.8">
      <c r="I973" s="123"/>
      <c r="J973" s="123"/>
      <c r="K973" s="123"/>
      <c r="L973" s="123"/>
      <c r="M973" s="123"/>
      <c r="N973" s="123"/>
      <c r="O973" s="123"/>
      <c r="P973" s="123"/>
      <c r="Q973" s="123"/>
      <c r="R973" s="123"/>
      <c r="S973" s="123"/>
      <c r="T973" s="123"/>
      <c r="U973" s="123"/>
      <c r="V973" s="123"/>
      <c r="W973" s="123"/>
      <c r="X973" s="123"/>
      <c r="Y973" s="123"/>
      <c r="Z973" s="123"/>
      <c r="AA973" s="123"/>
    </row>
    <row r="974" spans="9:27" ht="13.8">
      <c r="I974" s="123"/>
      <c r="J974" s="123"/>
      <c r="K974" s="123"/>
      <c r="L974" s="123"/>
      <c r="M974" s="123"/>
      <c r="N974" s="123"/>
      <c r="O974" s="123"/>
      <c r="P974" s="123"/>
      <c r="Q974" s="123"/>
      <c r="R974" s="123"/>
      <c r="S974" s="123"/>
      <c r="T974" s="123"/>
      <c r="U974" s="123"/>
      <c r="V974" s="123"/>
      <c r="W974" s="123"/>
      <c r="X974" s="123"/>
      <c r="Y974" s="123"/>
      <c r="Z974" s="123"/>
      <c r="AA974" s="123"/>
    </row>
    <row r="975" spans="9:27" ht="13.8">
      <c r="I975" s="123"/>
      <c r="J975" s="123"/>
      <c r="K975" s="123"/>
      <c r="L975" s="123"/>
      <c r="M975" s="123"/>
      <c r="N975" s="123"/>
      <c r="O975" s="123"/>
      <c r="P975" s="123"/>
      <c r="Q975" s="123"/>
      <c r="R975" s="123"/>
      <c r="S975" s="123"/>
      <c r="T975" s="123"/>
      <c r="U975" s="123"/>
      <c r="V975" s="123"/>
      <c r="W975" s="123"/>
      <c r="X975" s="123"/>
      <c r="Y975" s="123"/>
      <c r="Z975" s="123"/>
      <c r="AA975" s="123"/>
    </row>
    <row r="976" spans="9:27" ht="13.8">
      <c r="I976" s="123"/>
      <c r="J976" s="123"/>
      <c r="K976" s="123"/>
      <c r="L976" s="123"/>
      <c r="M976" s="123"/>
      <c r="N976" s="123"/>
      <c r="O976" s="123"/>
      <c r="P976" s="123"/>
      <c r="Q976" s="123"/>
      <c r="R976" s="123"/>
      <c r="S976" s="123"/>
      <c r="T976" s="123"/>
      <c r="U976" s="123"/>
      <c r="V976" s="123"/>
      <c r="W976" s="123"/>
      <c r="X976" s="123"/>
      <c r="Y976" s="123"/>
      <c r="Z976" s="123"/>
      <c r="AA976" s="123"/>
    </row>
    <row r="977" spans="9:27" ht="13.8">
      <c r="I977" s="123"/>
      <c r="J977" s="123"/>
      <c r="K977" s="123"/>
      <c r="L977" s="123"/>
      <c r="M977" s="123"/>
      <c r="N977" s="123"/>
      <c r="O977" s="123"/>
      <c r="P977" s="123"/>
      <c r="Q977" s="123"/>
      <c r="R977" s="123"/>
      <c r="S977" s="123"/>
      <c r="T977" s="123"/>
      <c r="U977" s="123"/>
      <c r="V977" s="123"/>
      <c r="W977" s="123"/>
      <c r="X977" s="123"/>
      <c r="Y977" s="123"/>
      <c r="Z977" s="123"/>
      <c r="AA977" s="123"/>
    </row>
    <row r="978" spans="9:27" ht="13.8">
      <c r="I978" s="123"/>
      <c r="J978" s="123"/>
      <c r="K978" s="123"/>
      <c r="L978" s="123"/>
      <c r="M978" s="123"/>
      <c r="N978" s="123"/>
      <c r="O978" s="123"/>
      <c r="P978" s="123"/>
      <c r="Q978" s="123"/>
      <c r="R978" s="123"/>
      <c r="S978" s="123"/>
      <c r="T978" s="123"/>
      <c r="U978" s="123"/>
      <c r="V978" s="123"/>
      <c r="W978" s="123"/>
      <c r="X978" s="123"/>
      <c r="Y978" s="123"/>
      <c r="Z978" s="123"/>
      <c r="AA978" s="123"/>
    </row>
    <row r="979" spans="9:27" ht="13.8">
      <c r="I979" s="123"/>
      <c r="J979" s="123"/>
      <c r="K979" s="123"/>
      <c r="L979" s="123"/>
      <c r="M979" s="123"/>
      <c r="N979" s="123"/>
      <c r="O979" s="123"/>
      <c r="P979" s="123"/>
      <c r="Q979" s="123"/>
      <c r="R979" s="123"/>
      <c r="S979" s="123"/>
      <c r="T979" s="123"/>
      <c r="U979" s="123"/>
      <c r="V979" s="123"/>
      <c r="W979" s="123"/>
      <c r="X979" s="123"/>
      <c r="Y979" s="123"/>
      <c r="Z979" s="123"/>
      <c r="AA979" s="123"/>
    </row>
    <row r="980" spans="9:27" ht="13.8">
      <c r="I980" s="123"/>
      <c r="J980" s="123"/>
      <c r="K980" s="123"/>
      <c r="L980" s="123"/>
      <c r="M980" s="123"/>
      <c r="N980" s="123"/>
      <c r="O980" s="123"/>
      <c r="P980" s="123"/>
      <c r="Q980" s="123"/>
      <c r="R980" s="123"/>
      <c r="S980" s="123"/>
      <c r="T980" s="123"/>
      <c r="U980" s="123"/>
      <c r="V980" s="123"/>
      <c r="W980" s="123"/>
      <c r="X980" s="123"/>
      <c r="Y980" s="123"/>
      <c r="Z980" s="123"/>
      <c r="AA980" s="123"/>
    </row>
    <row r="981" spans="9:27" ht="13.8">
      <c r="I981" s="123"/>
      <c r="J981" s="123"/>
      <c r="K981" s="123"/>
      <c r="L981" s="123"/>
      <c r="M981" s="123"/>
      <c r="N981" s="123"/>
      <c r="O981" s="123"/>
      <c r="P981" s="123"/>
      <c r="Q981" s="123"/>
      <c r="R981" s="123"/>
      <c r="S981" s="123"/>
      <c r="T981" s="123"/>
      <c r="U981" s="123"/>
      <c r="V981" s="123"/>
      <c r="W981" s="123"/>
      <c r="X981" s="123"/>
      <c r="Y981" s="123"/>
      <c r="Z981" s="123"/>
      <c r="AA981" s="123"/>
    </row>
    <row r="982" spans="9:27" ht="13.8">
      <c r="I982" s="123"/>
      <c r="J982" s="123"/>
      <c r="K982" s="123"/>
      <c r="L982" s="123"/>
      <c r="M982" s="123"/>
      <c r="N982" s="123"/>
      <c r="O982" s="123"/>
      <c r="P982" s="123"/>
      <c r="Q982" s="123"/>
      <c r="R982" s="123"/>
      <c r="S982" s="123"/>
      <c r="T982" s="123"/>
      <c r="U982" s="123"/>
      <c r="V982" s="123"/>
      <c r="W982" s="123"/>
      <c r="X982" s="123"/>
      <c r="Y982" s="123"/>
      <c r="Z982" s="123"/>
      <c r="AA982" s="123"/>
    </row>
    <row r="983" spans="9:27" ht="13.8">
      <c r="I983" s="123"/>
      <c r="J983" s="123"/>
      <c r="K983" s="123"/>
      <c r="L983" s="123"/>
      <c r="M983" s="123"/>
      <c r="N983" s="123"/>
      <c r="O983" s="123"/>
      <c r="P983" s="123"/>
      <c r="Q983" s="123"/>
      <c r="R983" s="123"/>
      <c r="S983" s="123"/>
      <c r="T983" s="123"/>
      <c r="U983" s="123"/>
      <c r="V983" s="123"/>
      <c r="W983" s="123"/>
      <c r="X983" s="123"/>
      <c r="Y983" s="123"/>
      <c r="Z983" s="123"/>
      <c r="AA983" s="123"/>
    </row>
    <row r="984" spans="9:27" ht="13.8">
      <c r="I984" s="123"/>
      <c r="J984" s="123"/>
      <c r="K984" s="123"/>
      <c r="L984" s="123"/>
      <c r="M984" s="123"/>
      <c r="N984" s="123"/>
      <c r="O984" s="123"/>
      <c r="P984" s="123"/>
      <c r="Q984" s="123"/>
      <c r="R984" s="123"/>
      <c r="S984" s="123"/>
      <c r="T984" s="123"/>
      <c r="U984" s="123"/>
      <c r="V984" s="123"/>
      <c r="W984" s="123"/>
      <c r="X984" s="123"/>
      <c r="Y984" s="123"/>
      <c r="Z984" s="123"/>
      <c r="AA984" s="123"/>
    </row>
    <row r="985" spans="9:27" ht="13.8">
      <c r="I985" s="123"/>
      <c r="J985" s="123"/>
      <c r="K985" s="123"/>
      <c r="L985" s="123"/>
      <c r="M985" s="123"/>
      <c r="N985" s="123"/>
      <c r="O985" s="123"/>
      <c r="P985" s="123"/>
      <c r="Q985" s="123"/>
      <c r="R985" s="123"/>
      <c r="S985" s="123"/>
      <c r="T985" s="123"/>
      <c r="U985" s="123"/>
      <c r="V985" s="123"/>
      <c r="W985" s="123"/>
      <c r="X985" s="123"/>
      <c r="Y985" s="123"/>
      <c r="Z985" s="123"/>
      <c r="AA985" s="123"/>
    </row>
    <row r="986" spans="9:27" ht="13.8">
      <c r="I986" s="123"/>
      <c r="J986" s="123"/>
      <c r="K986" s="123"/>
      <c r="L986" s="123"/>
      <c r="M986" s="123"/>
      <c r="N986" s="123"/>
      <c r="O986" s="123"/>
      <c r="P986" s="123"/>
      <c r="Q986" s="123"/>
      <c r="R986" s="123"/>
      <c r="S986" s="123"/>
      <c r="T986" s="123"/>
      <c r="U986" s="123"/>
      <c r="V986" s="123"/>
      <c r="W986" s="123"/>
      <c r="X986" s="123"/>
      <c r="Y986" s="123"/>
      <c r="Z986" s="123"/>
      <c r="AA986" s="123"/>
    </row>
    <row r="987" spans="9:27" ht="13.8">
      <c r="I987" s="123"/>
      <c r="J987" s="123"/>
      <c r="K987" s="123"/>
      <c r="L987" s="123"/>
      <c r="M987" s="123"/>
      <c r="N987" s="123"/>
      <c r="O987" s="123"/>
      <c r="P987" s="123"/>
      <c r="Q987" s="123"/>
      <c r="R987" s="123"/>
      <c r="S987" s="123"/>
      <c r="T987" s="123"/>
      <c r="U987" s="123"/>
      <c r="V987" s="123"/>
      <c r="W987" s="123"/>
      <c r="X987" s="123"/>
      <c r="Y987" s="123"/>
      <c r="Z987" s="123"/>
      <c r="AA987" s="123"/>
    </row>
    <row r="988" spans="9:27" ht="13.8">
      <c r="I988" s="123"/>
      <c r="J988" s="123"/>
      <c r="K988" s="123"/>
      <c r="L988" s="123"/>
      <c r="M988" s="123"/>
      <c r="N988" s="123"/>
      <c r="O988" s="123"/>
      <c r="P988" s="123"/>
      <c r="Q988" s="123"/>
      <c r="R988" s="123"/>
      <c r="S988" s="123"/>
      <c r="T988" s="123"/>
      <c r="U988" s="123"/>
      <c r="V988" s="123"/>
      <c r="W988" s="123"/>
      <c r="X988" s="123"/>
      <c r="Y988" s="123"/>
      <c r="Z988" s="123"/>
      <c r="AA988" s="123"/>
    </row>
    <row r="989" spans="9:27" ht="13.8">
      <c r="I989" s="123"/>
      <c r="J989" s="123"/>
      <c r="K989" s="123"/>
      <c r="L989" s="123"/>
      <c r="M989" s="123"/>
      <c r="N989" s="123"/>
      <c r="O989" s="123"/>
      <c r="P989" s="123"/>
      <c r="Q989" s="123"/>
      <c r="R989" s="123"/>
      <c r="S989" s="123"/>
      <c r="T989" s="123"/>
      <c r="U989" s="123"/>
      <c r="V989" s="123"/>
      <c r="W989" s="123"/>
      <c r="X989" s="123"/>
      <c r="Y989" s="123"/>
      <c r="Z989" s="123"/>
      <c r="AA989" s="123"/>
    </row>
    <row r="990" spans="9:27" ht="13.8">
      <c r="I990" s="123"/>
      <c r="J990" s="123"/>
      <c r="K990" s="123"/>
      <c r="L990" s="123"/>
      <c r="M990" s="123"/>
      <c r="N990" s="123"/>
      <c r="O990" s="123"/>
      <c r="P990" s="123"/>
      <c r="Q990" s="123"/>
      <c r="R990" s="123"/>
      <c r="S990" s="123"/>
      <c r="T990" s="123"/>
      <c r="U990" s="123"/>
      <c r="V990" s="123"/>
      <c r="W990" s="123"/>
      <c r="X990" s="123"/>
      <c r="Y990" s="123"/>
      <c r="Z990" s="123"/>
      <c r="AA990" s="123"/>
    </row>
    <row r="991" spans="9:27" ht="13.8">
      <c r="I991" s="123"/>
      <c r="J991" s="123"/>
      <c r="K991" s="123"/>
      <c r="L991" s="123"/>
      <c r="M991" s="123"/>
      <c r="N991" s="123"/>
      <c r="O991" s="123"/>
      <c r="P991" s="123"/>
      <c r="Q991" s="123"/>
      <c r="R991" s="123"/>
      <c r="S991" s="123"/>
      <c r="T991" s="123"/>
      <c r="U991" s="123"/>
      <c r="V991" s="123"/>
      <c r="W991" s="123"/>
      <c r="X991" s="123"/>
      <c r="Y991" s="123"/>
      <c r="Z991" s="123"/>
      <c r="AA991" s="123"/>
    </row>
    <row r="992" spans="9:27" ht="13.8">
      <c r="I992" s="123"/>
      <c r="J992" s="123"/>
      <c r="K992" s="123"/>
      <c r="L992" s="123"/>
      <c r="M992" s="123"/>
      <c r="N992" s="123"/>
      <c r="O992" s="123"/>
      <c r="P992" s="123"/>
      <c r="Q992" s="123"/>
      <c r="R992" s="123"/>
      <c r="S992" s="123"/>
      <c r="T992" s="123"/>
      <c r="U992" s="123"/>
      <c r="V992" s="123"/>
      <c r="W992" s="123"/>
      <c r="X992" s="123"/>
      <c r="Y992" s="123"/>
      <c r="Z992" s="123"/>
      <c r="AA992" s="123"/>
    </row>
    <row r="993" spans="9:27" ht="13.8">
      <c r="I993" s="123"/>
      <c r="J993" s="123"/>
      <c r="K993" s="123"/>
      <c r="L993" s="123"/>
      <c r="M993" s="123"/>
      <c r="N993" s="123"/>
      <c r="O993" s="123"/>
      <c r="P993" s="123"/>
      <c r="Q993" s="123"/>
      <c r="R993" s="123"/>
      <c r="S993" s="123"/>
      <c r="T993" s="123"/>
      <c r="U993" s="123"/>
      <c r="V993" s="123"/>
      <c r="W993" s="123"/>
      <c r="X993" s="123"/>
      <c r="Y993" s="123"/>
      <c r="Z993" s="123"/>
      <c r="AA993" s="123"/>
    </row>
    <row r="994" spans="9:27" ht="13.8">
      <c r="I994" s="123"/>
      <c r="J994" s="123"/>
      <c r="K994" s="123"/>
      <c r="L994" s="123"/>
      <c r="M994" s="123"/>
      <c r="N994" s="123"/>
      <c r="O994" s="123"/>
      <c r="P994" s="123"/>
      <c r="Q994" s="123"/>
      <c r="R994" s="123"/>
      <c r="S994" s="123"/>
      <c r="T994" s="123"/>
      <c r="U994" s="123"/>
      <c r="V994" s="123"/>
      <c r="W994" s="123"/>
      <c r="X994" s="123"/>
      <c r="Y994" s="123"/>
      <c r="Z994" s="123"/>
      <c r="AA994" s="123"/>
    </row>
    <row r="995" spans="9:27" ht="13.8">
      <c r="I995" s="123"/>
      <c r="J995" s="123"/>
      <c r="K995" s="123"/>
      <c r="L995" s="123"/>
      <c r="M995" s="123"/>
      <c r="N995" s="123"/>
      <c r="O995" s="123"/>
      <c r="P995" s="123"/>
      <c r="Q995" s="123"/>
      <c r="R995" s="123"/>
      <c r="S995" s="123"/>
      <c r="T995" s="123"/>
      <c r="U995" s="123"/>
      <c r="V995" s="123"/>
      <c r="W995" s="123"/>
      <c r="X995" s="123"/>
      <c r="Y995" s="123"/>
      <c r="Z995" s="123"/>
      <c r="AA995" s="123"/>
    </row>
    <row r="996" spans="9:27" ht="13.8">
      <c r="I996" s="123"/>
      <c r="J996" s="123"/>
      <c r="K996" s="123"/>
      <c r="L996" s="123"/>
      <c r="M996" s="123"/>
      <c r="N996" s="123"/>
      <c r="O996" s="123"/>
      <c r="P996" s="123"/>
      <c r="Q996" s="123"/>
      <c r="R996" s="123"/>
      <c r="S996" s="123"/>
      <c r="T996" s="123"/>
      <c r="U996" s="123"/>
      <c r="V996" s="123"/>
      <c r="W996" s="123"/>
      <c r="X996" s="123"/>
      <c r="Y996" s="123"/>
      <c r="Z996" s="123"/>
      <c r="AA996" s="123"/>
    </row>
    <row r="997" spans="9:27" ht="13.8">
      <c r="I997" s="123"/>
      <c r="J997" s="123"/>
      <c r="K997" s="123"/>
      <c r="L997" s="123"/>
      <c r="M997" s="123"/>
      <c r="N997" s="123"/>
      <c r="O997" s="123"/>
      <c r="P997" s="123"/>
      <c r="Q997" s="123"/>
      <c r="R997" s="123"/>
      <c r="S997" s="123"/>
      <c r="T997" s="123"/>
      <c r="U997" s="123"/>
      <c r="V997" s="123"/>
      <c r="W997" s="123"/>
      <c r="X997" s="123"/>
      <c r="Y997" s="123"/>
      <c r="Z997" s="123"/>
      <c r="AA997" s="123"/>
    </row>
    <row r="998" spans="9:27" ht="13.8">
      <c r="I998" s="123"/>
      <c r="J998" s="123"/>
      <c r="K998" s="123"/>
      <c r="L998" s="123"/>
      <c r="M998" s="123"/>
      <c r="N998" s="123"/>
      <c r="O998" s="123"/>
      <c r="P998" s="123"/>
      <c r="Q998" s="123"/>
      <c r="R998" s="123"/>
      <c r="S998" s="123"/>
      <c r="T998" s="123"/>
      <c r="U998" s="123"/>
      <c r="V998" s="123"/>
      <c r="W998" s="123"/>
      <c r="X998" s="123"/>
      <c r="Y998" s="123"/>
      <c r="Z998" s="123"/>
      <c r="AA998" s="123"/>
    </row>
    <row r="999" spans="9:27" ht="13.8">
      <c r="I999" s="123"/>
      <c r="J999" s="123"/>
      <c r="K999" s="123"/>
      <c r="L999" s="123"/>
      <c r="M999" s="123"/>
      <c r="N999" s="123"/>
      <c r="O999" s="123"/>
      <c r="P999" s="123"/>
      <c r="Q999" s="123"/>
      <c r="R999" s="123"/>
      <c r="S999" s="123"/>
      <c r="T999" s="123"/>
      <c r="U999" s="123"/>
      <c r="V999" s="123"/>
      <c r="W999" s="123"/>
      <c r="X999" s="123"/>
      <c r="Y999" s="123"/>
      <c r="Z999" s="123"/>
      <c r="AA999" s="123"/>
    </row>
    <row r="1000" spans="9:27" ht="13.8">
      <c r="I1000" s="123"/>
      <c r="J1000" s="123"/>
      <c r="K1000" s="123"/>
      <c r="L1000" s="123"/>
      <c r="M1000" s="123"/>
      <c r="N1000" s="123"/>
      <c r="O1000" s="123"/>
      <c r="P1000" s="123"/>
      <c r="Q1000" s="123"/>
      <c r="R1000" s="123"/>
      <c r="S1000" s="123"/>
      <c r="T1000" s="123"/>
      <c r="U1000" s="123"/>
      <c r="V1000" s="123"/>
      <c r="W1000" s="123"/>
      <c r="X1000" s="123"/>
      <c r="Y1000" s="123"/>
      <c r="Z1000" s="123"/>
      <c r="AA1000" s="123"/>
    </row>
    <row r="1001" spans="9:27" ht="13.8">
      <c r="I1001" s="123"/>
      <c r="J1001" s="123"/>
      <c r="K1001" s="123"/>
      <c r="L1001" s="123"/>
      <c r="M1001" s="123"/>
      <c r="N1001" s="123"/>
      <c r="O1001" s="123"/>
      <c r="P1001" s="123"/>
      <c r="Q1001" s="123"/>
      <c r="R1001" s="123"/>
      <c r="S1001" s="123"/>
      <c r="T1001" s="123"/>
      <c r="U1001" s="123"/>
      <c r="V1001" s="123"/>
      <c r="W1001" s="123"/>
      <c r="X1001" s="123"/>
      <c r="Y1001" s="123"/>
      <c r="Z1001" s="123"/>
      <c r="AA1001" s="123"/>
    </row>
    <row r="1002" spans="9:27" ht="13.8">
      <c r="I1002" s="123"/>
      <c r="J1002" s="123"/>
      <c r="K1002" s="123"/>
      <c r="L1002" s="123"/>
      <c r="M1002" s="123"/>
      <c r="N1002" s="123"/>
      <c r="O1002" s="123"/>
      <c r="P1002" s="123"/>
      <c r="Q1002" s="123"/>
      <c r="R1002" s="123"/>
      <c r="S1002" s="123"/>
      <c r="T1002" s="123"/>
      <c r="U1002" s="123"/>
      <c r="V1002" s="123"/>
      <c r="W1002" s="123"/>
      <c r="X1002" s="123"/>
      <c r="Y1002" s="123"/>
      <c r="Z1002" s="123"/>
      <c r="AA1002" s="123"/>
    </row>
    <row r="1003" spans="9:27" ht="13.8">
      <c r="I1003" s="123"/>
      <c r="J1003" s="123"/>
      <c r="K1003" s="123"/>
      <c r="L1003" s="123"/>
      <c r="M1003" s="123"/>
      <c r="N1003" s="123"/>
      <c r="O1003" s="123"/>
      <c r="P1003" s="123"/>
      <c r="Q1003" s="123"/>
      <c r="R1003" s="123"/>
      <c r="S1003" s="123"/>
      <c r="T1003" s="123"/>
      <c r="U1003" s="123"/>
      <c r="V1003" s="123"/>
      <c r="W1003" s="123"/>
      <c r="X1003" s="123"/>
      <c r="Y1003" s="123"/>
      <c r="Z1003" s="123"/>
      <c r="AA1003" s="123"/>
    </row>
    <row r="1004" spans="9:27" ht="13.8">
      <c r="I1004" s="123"/>
      <c r="J1004" s="123"/>
      <c r="K1004" s="123"/>
      <c r="L1004" s="123"/>
      <c r="M1004" s="123"/>
      <c r="N1004" s="123"/>
      <c r="O1004" s="123"/>
      <c r="P1004" s="123"/>
      <c r="Q1004" s="123"/>
      <c r="R1004" s="123"/>
      <c r="S1004" s="123"/>
      <c r="T1004" s="123"/>
      <c r="U1004" s="123"/>
      <c r="V1004" s="123"/>
      <c r="W1004" s="123"/>
      <c r="X1004" s="123"/>
      <c r="Y1004" s="123"/>
      <c r="Z1004" s="123"/>
      <c r="AA1004" s="123"/>
    </row>
    <row r="1005" spans="9:27" ht="13.8">
      <c r="I1005" s="123"/>
      <c r="J1005" s="123"/>
      <c r="K1005" s="123"/>
      <c r="L1005" s="123"/>
      <c r="M1005" s="123"/>
      <c r="N1005" s="123"/>
      <c r="O1005" s="123"/>
      <c r="P1005" s="123"/>
      <c r="Q1005" s="123"/>
      <c r="R1005" s="123"/>
      <c r="S1005" s="123"/>
      <c r="T1005" s="123"/>
      <c r="U1005" s="123"/>
      <c r="V1005" s="123"/>
      <c r="W1005" s="123"/>
      <c r="X1005" s="123"/>
      <c r="Y1005" s="123"/>
      <c r="Z1005" s="123"/>
      <c r="AA1005" s="123"/>
    </row>
    <row r="1006" spans="9:27" ht="13.8">
      <c r="I1006" s="123"/>
      <c r="J1006" s="123"/>
      <c r="K1006" s="123"/>
      <c r="L1006" s="123"/>
      <c r="M1006" s="123"/>
      <c r="N1006" s="123"/>
      <c r="O1006" s="123"/>
      <c r="P1006" s="123"/>
      <c r="Q1006" s="123"/>
      <c r="R1006" s="123"/>
      <c r="S1006" s="123"/>
      <c r="T1006" s="123"/>
      <c r="U1006" s="123"/>
      <c r="V1006" s="123"/>
      <c r="W1006" s="123"/>
      <c r="X1006" s="123"/>
      <c r="Y1006" s="123"/>
      <c r="Z1006" s="123"/>
      <c r="AA1006" s="123"/>
    </row>
    <row r="1007" spans="9:27" ht="13.8">
      <c r="I1007" s="123"/>
      <c r="J1007" s="123"/>
      <c r="K1007" s="123"/>
      <c r="L1007" s="123"/>
      <c r="M1007" s="123"/>
      <c r="N1007" s="123"/>
      <c r="O1007" s="123"/>
      <c r="P1007" s="123"/>
      <c r="Q1007" s="123"/>
      <c r="R1007" s="123"/>
      <c r="S1007" s="123"/>
      <c r="T1007" s="123"/>
      <c r="U1007" s="123"/>
      <c r="V1007" s="123"/>
      <c r="W1007" s="123"/>
      <c r="X1007" s="123"/>
      <c r="Y1007" s="123"/>
      <c r="Z1007" s="123"/>
      <c r="AA1007" s="123"/>
    </row>
    <row r="1008" spans="9:27" ht="13.8">
      <c r="I1008" s="123"/>
      <c r="J1008" s="123"/>
      <c r="K1008" s="123"/>
      <c r="L1008" s="123"/>
      <c r="M1008" s="123"/>
      <c r="N1008" s="123"/>
      <c r="O1008" s="123"/>
      <c r="P1008" s="123"/>
      <c r="Q1008" s="123"/>
      <c r="R1008" s="123"/>
      <c r="S1008" s="123"/>
      <c r="T1008" s="123"/>
      <c r="U1008" s="123"/>
      <c r="V1008" s="123"/>
      <c r="W1008" s="123"/>
      <c r="X1008" s="123"/>
      <c r="Y1008" s="123"/>
      <c r="Z1008" s="123"/>
      <c r="AA1008" s="123"/>
    </row>
    <row r="1009" spans="9:27" ht="13.8">
      <c r="I1009" s="123"/>
      <c r="J1009" s="123"/>
      <c r="K1009" s="123"/>
      <c r="L1009" s="123"/>
      <c r="M1009" s="123"/>
      <c r="N1009" s="123"/>
      <c r="O1009" s="123"/>
      <c r="P1009" s="123"/>
      <c r="Q1009" s="123"/>
      <c r="R1009" s="123"/>
      <c r="S1009" s="123"/>
      <c r="T1009" s="123"/>
      <c r="U1009" s="123"/>
      <c r="V1009" s="123"/>
      <c r="W1009" s="123"/>
      <c r="X1009" s="123"/>
      <c r="Y1009" s="123"/>
      <c r="Z1009" s="123"/>
      <c r="AA1009" s="123"/>
    </row>
    <row r="1010" spans="9:27" ht="13.8">
      <c r="I1010" s="123"/>
      <c r="J1010" s="123"/>
      <c r="K1010" s="123"/>
      <c r="L1010" s="123"/>
      <c r="M1010" s="123"/>
      <c r="N1010" s="123"/>
      <c r="O1010" s="123"/>
      <c r="P1010" s="123"/>
      <c r="Q1010" s="123"/>
      <c r="R1010" s="123"/>
      <c r="S1010" s="123"/>
      <c r="T1010" s="123"/>
      <c r="U1010" s="123"/>
      <c r="V1010" s="123"/>
      <c r="W1010" s="123"/>
      <c r="X1010" s="123"/>
      <c r="Y1010" s="123"/>
      <c r="Z1010" s="123"/>
      <c r="AA1010" s="123"/>
    </row>
    <row r="1011" spans="9:27" ht="13.8">
      <c r="I1011" s="123"/>
      <c r="J1011" s="123"/>
      <c r="K1011" s="123"/>
      <c r="L1011" s="123"/>
      <c r="M1011" s="123"/>
      <c r="N1011" s="123"/>
      <c r="O1011" s="123"/>
      <c r="P1011" s="123"/>
      <c r="Q1011" s="123"/>
      <c r="R1011" s="123"/>
      <c r="S1011" s="123"/>
      <c r="T1011" s="123"/>
      <c r="U1011" s="123"/>
      <c r="V1011" s="123"/>
      <c r="W1011" s="123"/>
      <c r="X1011" s="123"/>
      <c r="Y1011" s="123"/>
      <c r="Z1011" s="123"/>
      <c r="AA1011" s="123"/>
    </row>
    <row r="1012" spans="9:27" ht="13.8">
      <c r="I1012" s="123"/>
      <c r="J1012" s="123"/>
      <c r="K1012" s="123"/>
      <c r="L1012" s="123"/>
      <c r="M1012" s="123"/>
      <c r="N1012" s="123"/>
      <c r="O1012" s="123"/>
      <c r="P1012" s="123"/>
      <c r="Q1012" s="123"/>
      <c r="R1012" s="123"/>
      <c r="S1012" s="123"/>
      <c r="T1012" s="123"/>
      <c r="U1012" s="123"/>
      <c r="V1012" s="123"/>
      <c r="W1012" s="123"/>
      <c r="X1012" s="123"/>
      <c r="Y1012" s="123"/>
      <c r="Z1012" s="123"/>
      <c r="AA1012" s="123"/>
    </row>
    <row r="1013" spans="9:27" ht="13.8">
      <c r="I1013" s="123"/>
      <c r="J1013" s="123"/>
      <c r="K1013" s="123"/>
      <c r="L1013" s="123"/>
      <c r="M1013" s="123"/>
      <c r="N1013" s="123"/>
      <c r="O1013" s="123"/>
      <c r="P1013" s="123"/>
      <c r="Q1013" s="123"/>
      <c r="R1013" s="123"/>
      <c r="S1013" s="123"/>
      <c r="T1013" s="123"/>
      <c r="U1013" s="123"/>
      <c r="V1013" s="123"/>
      <c r="W1013" s="123"/>
      <c r="X1013" s="123"/>
      <c r="Y1013" s="123"/>
      <c r="Z1013" s="123"/>
      <c r="AA1013" s="123"/>
    </row>
    <row r="1014" spans="9:27" ht="13.8">
      <c r="I1014" s="123"/>
      <c r="J1014" s="123"/>
      <c r="K1014" s="123"/>
      <c r="L1014" s="123"/>
      <c r="M1014" s="123"/>
      <c r="N1014" s="123"/>
      <c r="O1014" s="123"/>
      <c r="P1014" s="123"/>
      <c r="Q1014" s="123"/>
      <c r="R1014" s="123"/>
      <c r="S1014" s="123"/>
      <c r="T1014" s="123"/>
      <c r="U1014" s="123"/>
      <c r="V1014" s="123"/>
      <c r="W1014" s="123"/>
      <c r="X1014" s="123"/>
      <c r="Y1014" s="123"/>
      <c r="Z1014" s="123"/>
      <c r="AA1014" s="123"/>
    </row>
    <row r="1015" spans="9:27" ht="13.8">
      <c r="I1015" s="123"/>
      <c r="J1015" s="123"/>
      <c r="K1015" s="123"/>
      <c r="L1015" s="123"/>
      <c r="M1015" s="123"/>
      <c r="N1015" s="123"/>
      <c r="O1015" s="123"/>
      <c r="P1015" s="123"/>
      <c r="Q1015" s="123"/>
      <c r="R1015" s="123"/>
      <c r="S1015" s="123"/>
      <c r="T1015" s="123"/>
      <c r="U1015" s="123"/>
      <c r="V1015" s="123"/>
      <c r="W1015" s="123"/>
      <c r="X1015" s="123"/>
      <c r="Y1015" s="123"/>
      <c r="Z1015" s="123"/>
      <c r="AA1015" s="123"/>
    </row>
    <row r="1016" spans="9:27" ht="13.8">
      <c r="I1016" s="123"/>
      <c r="J1016" s="123"/>
      <c r="K1016" s="123"/>
      <c r="L1016" s="123"/>
      <c r="M1016" s="123"/>
      <c r="N1016" s="123"/>
      <c r="O1016" s="123"/>
      <c r="P1016" s="123"/>
      <c r="Q1016" s="123"/>
      <c r="R1016" s="123"/>
      <c r="S1016" s="123"/>
      <c r="T1016" s="123"/>
      <c r="U1016" s="123"/>
      <c r="V1016" s="123"/>
      <c r="W1016" s="123"/>
      <c r="X1016" s="123"/>
      <c r="Y1016" s="123"/>
      <c r="Z1016" s="123"/>
      <c r="AA1016" s="123"/>
    </row>
    <row r="1017" spans="9:27" ht="13.8">
      <c r="I1017" s="123"/>
      <c r="J1017" s="123"/>
      <c r="K1017" s="123"/>
      <c r="L1017" s="123"/>
      <c r="M1017" s="123"/>
      <c r="N1017" s="123"/>
      <c r="O1017" s="123"/>
      <c r="P1017" s="123"/>
      <c r="Q1017" s="123"/>
      <c r="R1017" s="123"/>
      <c r="S1017" s="123"/>
      <c r="T1017" s="123"/>
      <c r="U1017" s="123"/>
      <c r="V1017" s="123"/>
      <c r="W1017" s="123"/>
      <c r="X1017" s="123"/>
      <c r="Y1017" s="123"/>
      <c r="Z1017" s="123"/>
      <c r="AA1017" s="123"/>
    </row>
    <row r="1018" spans="9:27" ht="13.8">
      <c r="I1018" s="123"/>
      <c r="J1018" s="123"/>
      <c r="K1018" s="123"/>
      <c r="L1018" s="123"/>
      <c r="M1018" s="123"/>
      <c r="N1018" s="123"/>
      <c r="O1018" s="123"/>
      <c r="P1018" s="123"/>
      <c r="Q1018" s="123"/>
      <c r="R1018" s="123"/>
      <c r="S1018" s="123"/>
      <c r="T1018" s="123"/>
      <c r="U1018" s="123"/>
      <c r="V1018" s="123"/>
      <c r="W1018" s="123"/>
      <c r="X1018" s="123"/>
      <c r="Y1018" s="123"/>
      <c r="Z1018" s="123"/>
      <c r="AA1018" s="123"/>
    </row>
    <row r="1019" spans="9:27" ht="13.8">
      <c r="I1019" s="123"/>
      <c r="J1019" s="123"/>
      <c r="K1019" s="123"/>
      <c r="L1019" s="123"/>
      <c r="M1019" s="123"/>
      <c r="N1019" s="123"/>
      <c r="O1019" s="123"/>
      <c r="P1019" s="123"/>
      <c r="Q1019" s="123"/>
      <c r="R1019" s="123"/>
      <c r="S1019" s="123"/>
      <c r="T1019" s="123"/>
      <c r="U1019" s="123"/>
      <c r="V1019" s="123"/>
      <c r="W1019" s="123"/>
      <c r="X1019" s="123"/>
      <c r="Y1019" s="123"/>
      <c r="Z1019" s="123"/>
      <c r="AA1019" s="123"/>
    </row>
    <row r="1020" spans="9:27" ht="13.8">
      <c r="I1020" s="123"/>
      <c r="J1020" s="123"/>
      <c r="K1020" s="123"/>
      <c r="L1020" s="123"/>
      <c r="M1020" s="123"/>
      <c r="N1020" s="123"/>
      <c r="O1020" s="123"/>
      <c r="P1020" s="123"/>
      <c r="Q1020" s="123"/>
      <c r="R1020" s="123"/>
      <c r="S1020" s="123"/>
      <c r="T1020" s="123"/>
      <c r="U1020" s="123"/>
      <c r="V1020" s="123"/>
      <c r="W1020" s="123"/>
      <c r="X1020" s="123"/>
      <c r="Y1020" s="123"/>
      <c r="Z1020" s="123"/>
      <c r="AA1020" s="123"/>
    </row>
  </sheetData>
  <conditionalFormatting sqref="B1">
    <cfRule type="expression" dxfId="28" priority="203">
      <formula>COUNTIF($B$2:$B$741,$B1048322)&gt;1</formula>
    </cfRule>
  </conditionalFormatting>
  <conditionalFormatting sqref="J1">
    <cfRule type="expression" dxfId="27" priority="2">
      <formula>COUNTIF(J:J,J1)&gt;1</formula>
    </cfRule>
  </conditionalFormatting>
  <dataValidations count="1">
    <dataValidation type="list" allowBlank="1" showErrorMessage="1" sqref="F6 F2:F4 F8:F14 F22" xr:uid="{00000000-0002-0000-02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1031"/>
  <sheetViews>
    <sheetView topLeftCell="B1" workbookViewId="0">
      <selection activeCell="E12" sqref="E12"/>
    </sheetView>
  </sheetViews>
  <sheetFormatPr defaultColWidth="12.6640625" defaultRowHeight="15.75" customHeight="1"/>
  <cols>
    <col min="1" max="1" width="37" customWidth="1"/>
    <col min="2" max="2" width="50.88671875" customWidth="1"/>
    <col min="3" max="3" width="25.21875" customWidth="1"/>
    <col min="4" max="4" width="25.77734375" customWidth="1"/>
    <col min="5" max="5" width="25.44140625" customWidth="1"/>
    <col min="6" max="6" width="6.6640625" customWidth="1"/>
    <col min="7" max="8" width="12.109375" customWidth="1"/>
    <col min="9" max="9" width="7.44140625" customWidth="1"/>
  </cols>
  <sheetData>
    <row r="1" spans="1:28" s="21" customFormat="1" ht="13.2">
      <c r="A1" s="20" t="s">
        <v>39</v>
      </c>
      <c r="B1" s="20" t="s">
        <v>1</v>
      </c>
      <c r="C1" s="20" t="s">
        <v>4</v>
      </c>
      <c r="D1" s="20" t="s">
        <v>5</v>
      </c>
      <c r="E1" s="58" t="s">
        <v>2</v>
      </c>
      <c r="F1" s="20" t="s">
        <v>40</v>
      </c>
      <c r="G1" s="20" t="s">
        <v>3</v>
      </c>
      <c r="H1" s="20" t="s">
        <v>68</v>
      </c>
      <c r="I1" s="20" t="s">
        <v>7</v>
      </c>
    </row>
    <row r="2" spans="1:28" ht="13.2">
      <c r="A2" s="58" t="s">
        <v>299</v>
      </c>
      <c r="B2" s="12" t="s">
        <v>820</v>
      </c>
      <c r="C2" s="12" t="s">
        <v>821</v>
      </c>
      <c r="D2" s="12" t="s">
        <v>829</v>
      </c>
      <c r="E2" s="12" t="str">
        <f>IF(D2&lt;&gt;"","TF"&amp;COUNTIF($D$2:D2,"&lt;&gt;"),"")</f>
        <v>TF1</v>
      </c>
      <c r="F2" s="12"/>
      <c r="G2" s="60" t="str">
        <f>HYPERLINK("https://doi.org/" &amp; P2, "https://doi.org/" &amp; P2)</f>
        <v>https://doi.org/10.1080/01621459.2019.1700130</v>
      </c>
      <c r="H2" s="12" t="s">
        <v>832</v>
      </c>
      <c r="I2" s="12">
        <v>2021</v>
      </c>
      <c r="J2" s="12"/>
      <c r="K2" s="12"/>
      <c r="L2" s="12"/>
      <c r="M2" s="12"/>
      <c r="N2" s="12"/>
      <c r="O2" s="12"/>
      <c r="P2" s="12" t="s">
        <v>822</v>
      </c>
      <c r="Q2" s="12"/>
      <c r="R2" s="12"/>
      <c r="S2" s="12"/>
      <c r="T2" s="12"/>
      <c r="U2" s="12"/>
      <c r="V2" s="12"/>
      <c r="W2" s="12"/>
      <c r="X2" s="12"/>
      <c r="Y2" s="12"/>
      <c r="Z2" s="12"/>
      <c r="AA2" s="12"/>
      <c r="AB2" s="12"/>
    </row>
    <row r="3" spans="1:28" ht="13.2">
      <c r="A3" s="58"/>
      <c r="B3" s="12" t="s">
        <v>823</v>
      </c>
      <c r="C3" s="12" t="s">
        <v>824</v>
      </c>
      <c r="D3" s="12" t="s">
        <v>830</v>
      </c>
      <c r="E3" s="12" t="str">
        <f>IF(D3&lt;&gt;"","TF"&amp;COUNTIF($D$2:D3,"&lt;&gt;"),"")</f>
        <v>TF2</v>
      </c>
      <c r="F3" s="12"/>
      <c r="G3" s="60" t="str">
        <f t="shared" ref="G3:G19" si="0">HYPERLINK("https://doi.org/" &amp; P3, "https://doi.org/" &amp; P3)</f>
        <v>https://doi.org/10.1080/13600834.2024.2321052</v>
      </c>
      <c r="H3" s="12" t="s">
        <v>833</v>
      </c>
      <c r="I3" s="12">
        <v>2024</v>
      </c>
      <c r="J3" s="12"/>
      <c r="K3" s="12"/>
      <c r="L3" s="12"/>
      <c r="M3" s="12"/>
      <c r="N3" s="12"/>
      <c r="O3" s="12"/>
      <c r="P3" s="12" t="s">
        <v>825</v>
      </c>
      <c r="Q3" s="12"/>
      <c r="R3" s="12"/>
      <c r="S3" s="12"/>
      <c r="T3" s="12"/>
      <c r="U3" s="12"/>
      <c r="V3" s="12"/>
      <c r="W3" s="12"/>
      <c r="X3" s="12"/>
      <c r="Y3" s="12"/>
      <c r="Z3" s="12"/>
      <c r="AA3" s="12"/>
      <c r="AB3" s="12"/>
    </row>
    <row r="4" spans="1:28" ht="13.2">
      <c r="A4" s="58"/>
      <c r="B4" s="12" t="s">
        <v>826</v>
      </c>
      <c r="C4" s="12" t="s">
        <v>827</v>
      </c>
      <c r="D4" s="12" t="s">
        <v>831</v>
      </c>
      <c r="E4" s="12" t="str">
        <f>IF(D4&lt;&gt;"","TF"&amp;COUNTIF($D$2:D4,"&lt;&gt;"),"")</f>
        <v>TF3</v>
      </c>
      <c r="F4" s="12"/>
      <c r="G4" s="60" t="str">
        <f t="shared" si="0"/>
        <v>https://doi.org/10.1080/02564602.2020.1803152</v>
      </c>
      <c r="H4" s="59" t="s">
        <v>834</v>
      </c>
      <c r="I4" s="12">
        <v>2021</v>
      </c>
      <c r="J4" s="12"/>
      <c r="K4" s="12"/>
      <c r="L4" s="12"/>
      <c r="M4" s="12"/>
      <c r="N4" s="12"/>
      <c r="O4" s="12"/>
      <c r="P4" s="12" t="s">
        <v>828</v>
      </c>
      <c r="Q4" s="12"/>
      <c r="R4" s="12"/>
      <c r="S4" s="12"/>
      <c r="T4" s="12"/>
      <c r="U4" s="12"/>
      <c r="V4" s="12"/>
      <c r="W4" s="12"/>
      <c r="X4" s="12"/>
      <c r="Y4" s="12"/>
      <c r="Z4" s="12"/>
      <c r="AA4" s="12"/>
      <c r="AB4" s="12"/>
    </row>
    <row r="5" spans="1:28" ht="13.2">
      <c r="A5" s="58"/>
      <c r="B5" s="12"/>
      <c r="C5" s="12"/>
      <c r="D5" s="12"/>
      <c r="E5" s="12" t="str">
        <f>IF(D5&lt;&gt;"","TF"&amp;COUNTIF($D$2:D5,"&lt;&gt;"),"")</f>
        <v/>
      </c>
      <c r="F5" s="12"/>
      <c r="G5" s="60" t="str">
        <f t="shared" si="0"/>
        <v>https://doi.org/</v>
      </c>
      <c r="H5" s="59"/>
      <c r="I5" s="12"/>
      <c r="J5" s="12"/>
      <c r="K5" s="12"/>
      <c r="L5" s="12"/>
      <c r="M5" s="12"/>
      <c r="N5" s="12"/>
      <c r="O5" s="12"/>
      <c r="P5" s="12"/>
      <c r="Q5" s="12"/>
      <c r="R5" s="12"/>
      <c r="S5" s="12"/>
      <c r="T5" s="12"/>
      <c r="U5" s="12"/>
      <c r="V5" s="12"/>
      <c r="W5" s="12"/>
      <c r="X5" s="12"/>
      <c r="Y5" s="12"/>
      <c r="Z5" s="12"/>
      <c r="AA5" s="12"/>
      <c r="AB5" s="12"/>
    </row>
    <row r="6" spans="1:28" ht="13.2">
      <c r="A6" s="53" t="s">
        <v>43</v>
      </c>
      <c r="B6" t="s">
        <v>835</v>
      </c>
      <c r="C6" t="s">
        <v>836</v>
      </c>
      <c r="D6" s="12" t="s">
        <v>841</v>
      </c>
      <c r="E6" s="12" t="str">
        <f>IF(D6&lt;&gt;"","TF"&amp;COUNTIF($D$2:D6,"&lt;&gt;"),"")</f>
        <v>TF4</v>
      </c>
      <c r="F6" s="12"/>
      <c r="G6" s="60" t="str">
        <f t="shared" si="0"/>
        <v>https://doi.org/10.1080/10095020.2023.2247446</v>
      </c>
      <c r="H6" s="59" t="s">
        <v>843</v>
      </c>
      <c r="I6">
        <v>2023</v>
      </c>
      <c r="J6" s="12"/>
      <c r="K6" s="12"/>
      <c r="L6" s="12"/>
      <c r="M6" s="12"/>
      <c r="N6" s="12"/>
      <c r="O6" s="12"/>
      <c r="P6" t="s">
        <v>837</v>
      </c>
      <c r="Q6" s="12"/>
      <c r="R6" s="12"/>
      <c r="S6" s="12"/>
      <c r="T6" s="12"/>
      <c r="U6" s="12"/>
      <c r="V6" s="12"/>
      <c r="W6" s="12"/>
      <c r="X6" s="12"/>
      <c r="Y6" s="12"/>
      <c r="Z6" s="12"/>
      <c r="AA6" s="12"/>
      <c r="AB6" s="12"/>
    </row>
    <row r="7" spans="1:28" ht="13.2">
      <c r="A7" s="53"/>
      <c r="B7" t="s">
        <v>838</v>
      </c>
      <c r="C7" t="s">
        <v>839</v>
      </c>
      <c r="D7" s="12" t="s">
        <v>842</v>
      </c>
      <c r="E7" s="12" t="str">
        <f>IF(D7&lt;&gt;"","TF"&amp;COUNTIF($D$2:D7,"&lt;&gt;"),"")</f>
        <v>TF5</v>
      </c>
      <c r="F7" s="12"/>
      <c r="G7" s="60" t="str">
        <f t="shared" si="0"/>
        <v>https://doi.org/10.1080/23311916.2024.2380351</v>
      </c>
      <c r="H7" s="59" t="s">
        <v>844</v>
      </c>
      <c r="I7">
        <v>2024</v>
      </c>
      <c r="J7" s="12"/>
      <c r="K7" s="12"/>
      <c r="L7" s="12"/>
      <c r="M7" s="12"/>
      <c r="N7" s="12"/>
      <c r="O7" s="12"/>
      <c r="P7" t="s">
        <v>840</v>
      </c>
      <c r="Q7" s="12"/>
      <c r="R7" s="12"/>
      <c r="S7" s="12"/>
      <c r="T7" s="12"/>
      <c r="U7" s="12"/>
      <c r="V7" s="12"/>
      <c r="W7" s="12"/>
      <c r="X7" s="12"/>
      <c r="Y7" s="12"/>
      <c r="Z7" s="12"/>
      <c r="AA7" s="12"/>
      <c r="AB7" s="12"/>
    </row>
    <row r="8" spans="1:28" ht="13.2">
      <c r="A8" s="53"/>
      <c r="B8" s="12"/>
      <c r="C8" s="12"/>
      <c r="D8" s="12"/>
      <c r="E8" s="12" t="str">
        <f>IF(D8&lt;&gt;"","TF"&amp;COUNTIF($D$2:D8,"&lt;&gt;"),"")</f>
        <v/>
      </c>
      <c r="F8" s="12"/>
      <c r="G8" s="60" t="str">
        <f t="shared" si="0"/>
        <v>https://doi.org/</v>
      </c>
      <c r="H8" s="59"/>
      <c r="I8" s="12"/>
      <c r="J8" s="12"/>
      <c r="K8" s="12"/>
      <c r="L8" s="12"/>
      <c r="M8" s="12"/>
      <c r="N8" s="12"/>
      <c r="O8" s="12"/>
      <c r="P8" s="12"/>
      <c r="Q8" s="12"/>
      <c r="R8" s="12"/>
      <c r="S8" s="12"/>
      <c r="T8" s="12"/>
      <c r="U8" s="12"/>
      <c r="V8" s="12"/>
      <c r="W8" s="12"/>
      <c r="X8" s="12"/>
      <c r="Y8" s="12"/>
      <c r="Z8" s="12"/>
      <c r="AA8" s="12"/>
      <c r="AB8" s="12"/>
    </row>
    <row r="9" spans="1:28" ht="13.2">
      <c r="A9" s="58" t="s">
        <v>135</v>
      </c>
      <c r="B9" s="12" t="s">
        <v>845</v>
      </c>
      <c r="C9" s="12" t="s">
        <v>846</v>
      </c>
      <c r="D9" s="12" t="s">
        <v>854</v>
      </c>
      <c r="E9" s="12" t="str">
        <f>IF(D9&lt;&gt;"","TF"&amp;COUNTIF($D$2:D9,"&lt;&gt;"),"")</f>
        <v>TF6</v>
      </c>
      <c r="F9" s="12"/>
      <c r="G9" s="60" t="str">
        <f t="shared" si="0"/>
        <v>https://doi.org/10.1080/21642583.2023.2300836</v>
      </c>
      <c r="H9" s="59" t="s">
        <v>857</v>
      </c>
      <c r="I9" s="12">
        <v>2024</v>
      </c>
      <c r="J9" s="12"/>
      <c r="K9" s="12"/>
      <c r="L9" s="12"/>
      <c r="M9" s="12"/>
      <c r="N9" s="12"/>
      <c r="O9" s="12"/>
      <c r="P9" s="12" t="s">
        <v>847</v>
      </c>
      <c r="Q9" s="12"/>
      <c r="R9" s="12"/>
      <c r="S9" s="12"/>
      <c r="T9" s="12"/>
      <c r="U9" s="12"/>
      <c r="V9" s="12"/>
      <c r="W9" s="12"/>
      <c r="X9" s="12"/>
      <c r="Y9" s="12"/>
      <c r="Z9" s="12"/>
      <c r="AA9" s="12"/>
      <c r="AB9" s="12"/>
    </row>
    <row r="10" spans="1:28" ht="13.2">
      <c r="A10" s="58"/>
      <c r="B10" s="12" t="s">
        <v>848</v>
      </c>
      <c r="C10" s="12" t="s">
        <v>849</v>
      </c>
      <c r="D10" s="12" t="s">
        <v>855</v>
      </c>
      <c r="E10" s="12" t="str">
        <f>IF(D10&lt;&gt;"","TF"&amp;COUNTIF($D$2:D10,"&lt;&gt;"),"")</f>
        <v>TF7</v>
      </c>
      <c r="F10" s="12"/>
      <c r="G10" s="60" t="str">
        <f t="shared" si="0"/>
        <v>https://doi.org/10.1080/21642583.2022.2129507</v>
      </c>
      <c r="H10" s="59" t="s">
        <v>858</v>
      </c>
      <c r="I10" s="12">
        <v>2022</v>
      </c>
      <c r="J10" s="12"/>
      <c r="K10" s="12"/>
      <c r="L10" s="12"/>
      <c r="M10" s="12"/>
      <c r="N10" s="12"/>
      <c r="O10" s="12"/>
      <c r="P10" s="12" t="s">
        <v>850</v>
      </c>
      <c r="Q10" s="12"/>
      <c r="R10" s="12"/>
      <c r="S10" s="12"/>
      <c r="T10" s="12"/>
      <c r="U10" s="12"/>
      <c r="V10" s="12"/>
      <c r="W10" s="12"/>
      <c r="X10" s="12"/>
      <c r="Y10" s="12"/>
      <c r="Z10" s="12"/>
      <c r="AA10" s="12"/>
      <c r="AB10" s="12"/>
    </row>
    <row r="11" spans="1:28" ht="13.2">
      <c r="A11" s="58"/>
      <c r="B11" s="12" t="s">
        <v>851</v>
      </c>
      <c r="C11" s="12" t="s">
        <v>852</v>
      </c>
      <c r="D11" s="12" t="s">
        <v>856</v>
      </c>
      <c r="E11" s="12" t="str">
        <f>IF(D11&lt;&gt;"","TF"&amp;COUNTIF($D$2:D11,"&lt;&gt;"),"")</f>
        <v>TF8</v>
      </c>
      <c r="F11" s="12"/>
      <c r="G11" s="60" t="str">
        <f t="shared" si="0"/>
        <v>https://doi.org/10.1080/09540091.2023.2168254</v>
      </c>
      <c r="H11" s="59" t="s">
        <v>859</v>
      </c>
      <c r="I11" s="12">
        <v>2023</v>
      </c>
      <c r="J11" s="12"/>
      <c r="K11" s="12"/>
      <c r="L11" s="12"/>
      <c r="M11" s="12"/>
      <c r="N11" s="12"/>
      <c r="O11" s="12"/>
      <c r="P11" s="12" t="s">
        <v>853</v>
      </c>
      <c r="Q11" s="12"/>
      <c r="R11" s="12"/>
      <c r="S11" s="12"/>
      <c r="T11" s="12"/>
      <c r="U11" s="12"/>
      <c r="V11" s="12"/>
      <c r="W11" s="12"/>
      <c r="X11" s="12"/>
      <c r="Y11" s="12"/>
      <c r="Z11" s="12"/>
      <c r="AA11" s="12"/>
      <c r="AB11" s="12"/>
    </row>
    <row r="12" spans="1:28" ht="13.2">
      <c r="A12" s="13"/>
      <c r="B12" s="12"/>
      <c r="C12" s="12"/>
      <c r="D12" s="12"/>
      <c r="E12" s="12" t="str">
        <f>IF(D12&lt;&gt;"","TF"&amp;COUNTIF($D$2:D12,"&lt;&gt;"),"")</f>
        <v/>
      </c>
      <c r="F12" s="12"/>
      <c r="G12" s="60" t="str">
        <f t="shared" si="0"/>
        <v>https://doi.org/</v>
      </c>
      <c r="H12" s="12"/>
      <c r="I12" s="12"/>
      <c r="J12" s="12"/>
      <c r="K12" s="12"/>
      <c r="L12" s="12"/>
      <c r="M12" s="12"/>
      <c r="N12" s="12"/>
      <c r="O12" s="12"/>
      <c r="P12" s="12"/>
      <c r="Q12" s="12"/>
      <c r="R12" s="12"/>
      <c r="S12" s="12"/>
      <c r="T12" s="12"/>
      <c r="U12" s="12"/>
      <c r="V12" s="12"/>
      <c r="W12" s="12"/>
      <c r="X12" s="12"/>
      <c r="Y12" s="12"/>
      <c r="Z12" s="12"/>
      <c r="AA12" s="12"/>
      <c r="AB12" s="12"/>
    </row>
    <row r="13" spans="1:28" ht="13.2">
      <c r="A13" s="53" t="s">
        <v>262</v>
      </c>
      <c r="B13" t="s">
        <v>860</v>
      </c>
      <c r="C13" t="s">
        <v>861</v>
      </c>
      <c r="D13" s="12" t="s">
        <v>866</v>
      </c>
      <c r="E13" s="12" t="str">
        <f>IF(D13&lt;&gt;"","TF"&amp;COUNTIF($D$2:D13,"&lt;&gt;"),"")</f>
        <v>TF9</v>
      </c>
      <c r="F13" s="12"/>
      <c r="G13" s="60" t="str">
        <f t="shared" si="0"/>
        <v>https://doi.org/10.1080/09540091.2025.2529261</v>
      </c>
      <c r="H13" s="12" t="s">
        <v>868</v>
      </c>
      <c r="I13">
        <v>2025</v>
      </c>
      <c r="J13" s="12"/>
      <c r="K13" s="12"/>
      <c r="L13" s="12"/>
      <c r="M13" s="12"/>
      <c r="N13" s="12"/>
      <c r="O13" s="12"/>
      <c r="P13" t="s">
        <v>862</v>
      </c>
      <c r="Q13" s="12"/>
      <c r="R13" s="12"/>
      <c r="S13" s="12"/>
      <c r="T13" s="12"/>
      <c r="U13" s="12"/>
      <c r="V13" s="12"/>
      <c r="W13" s="12"/>
      <c r="X13" s="12"/>
      <c r="Y13" s="12"/>
      <c r="Z13" s="12"/>
      <c r="AA13" s="12"/>
      <c r="AB13" s="12"/>
    </row>
    <row r="14" spans="1:28" ht="13.2">
      <c r="A14" s="13"/>
      <c r="B14" t="s">
        <v>863</v>
      </c>
      <c r="C14" t="s">
        <v>864</v>
      </c>
      <c r="D14" s="12" t="s">
        <v>867</v>
      </c>
      <c r="E14" s="12" t="str">
        <f>IF(D14&lt;&gt;"","TF"&amp;COUNTIF($D$2:D14,"&lt;&gt;"),"")</f>
        <v>TF10</v>
      </c>
      <c r="F14" s="12"/>
      <c r="G14" s="60" t="str">
        <f t="shared" si="0"/>
        <v>https://doi.org/10.1080/09614524.2021.1907535</v>
      </c>
      <c r="H14" s="12" t="s">
        <v>869</v>
      </c>
      <c r="I14">
        <v>2022</v>
      </c>
      <c r="J14" s="12"/>
      <c r="K14" s="12"/>
      <c r="L14" s="12"/>
      <c r="M14" s="12"/>
      <c r="N14" s="12"/>
      <c r="O14" s="12"/>
      <c r="P14" t="s">
        <v>865</v>
      </c>
      <c r="Q14" s="12"/>
      <c r="R14" s="12"/>
      <c r="S14" s="12"/>
      <c r="T14" s="12"/>
      <c r="U14" s="12"/>
      <c r="V14" s="12"/>
      <c r="W14" s="12"/>
      <c r="X14" s="12"/>
      <c r="Y14" s="12"/>
      <c r="Z14" s="12"/>
      <c r="AA14" s="12"/>
      <c r="AB14" s="12"/>
    </row>
    <row r="15" spans="1:28" ht="13.2">
      <c r="B15" s="12"/>
      <c r="C15" s="12"/>
      <c r="D15" s="12"/>
      <c r="E15" s="12" t="str">
        <f>IF(D15&lt;&gt;"","TF"&amp;COUNTIF($D$2:D15,"&lt;&gt;"),"")</f>
        <v/>
      </c>
      <c r="F15" s="12"/>
      <c r="G15" s="60" t="str">
        <f t="shared" si="0"/>
        <v>https://doi.org/</v>
      </c>
      <c r="H15" s="12"/>
      <c r="I15" s="12"/>
      <c r="J15" s="12"/>
      <c r="K15" s="12"/>
      <c r="L15" s="12"/>
      <c r="M15" s="12"/>
      <c r="N15" s="12"/>
      <c r="O15" s="12"/>
      <c r="P15" s="12"/>
      <c r="Q15" s="12"/>
      <c r="R15" s="12"/>
      <c r="S15" s="12"/>
      <c r="T15" s="12"/>
      <c r="U15" s="12"/>
      <c r="V15" s="12"/>
      <c r="W15" s="12"/>
      <c r="X15" s="12"/>
      <c r="Y15" s="12"/>
      <c r="Z15" s="12"/>
      <c r="AA15" s="12"/>
      <c r="AB15" s="12"/>
    </row>
    <row r="16" spans="1:28" ht="13.2">
      <c r="A16" s="53" t="s">
        <v>298</v>
      </c>
      <c r="B16" s="12" t="s">
        <v>870</v>
      </c>
      <c r="C16" s="12" t="s">
        <v>874</v>
      </c>
      <c r="D16" s="12" t="s">
        <v>881</v>
      </c>
      <c r="E16" s="12" t="str">
        <f>IF(D16&lt;&gt;"","TF"&amp;COUNTIF($D$2:D16,"&lt;&gt;"),"")</f>
        <v>TF11</v>
      </c>
      <c r="F16" s="12"/>
      <c r="G16" s="60" t="str">
        <f t="shared" si="0"/>
        <v>https://doi.org/10.1080/15027570.2024.2440195</v>
      </c>
      <c r="H16" s="59" t="s">
        <v>885</v>
      </c>
      <c r="I16" s="12">
        <v>2024</v>
      </c>
      <c r="J16" s="12"/>
      <c r="K16" s="12"/>
      <c r="L16" s="12"/>
      <c r="M16" s="12"/>
      <c r="N16" s="12"/>
      <c r="O16" s="12"/>
      <c r="P16" s="12" t="s">
        <v>877</v>
      </c>
      <c r="Q16" s="12"/>
      <c r="R16" s="12"/>
      <c r="S16" s="12"/>
      <c r="T16" s="12"/>
      <c r="U16" s="12"/>
      <c r="V16" s="12"/>
      <c r="W16" s="12"/>
      <c r="X16" s="12"/>
      <c r="Y16" s="12"/>
      <c r="Z16" s="12"/>
      <c r="AA16" s="12"/>
      <c r="AB16" s="12"/>
    </row>
    <row r="17" spans="1:28" ht="13.2">
      <c r="A17" s="13"/>
      <c r="B17" s="12" t="s">
        <v>871</v>
      </c>
      <c r="C17" s="12" t="s">
        <v>875</v>
      </c>
      <c r="D17" s="12" t="s">
        <v>882</v>
      </c>
      <c r="E17" s="12" t="str">
        <f>IF(D17&lt;&gt;"","TF"&amp;COUNTIF($D$2:D17,"&lt;&gt;"),"")</f>
        <v>TF12</v>
      </c>
      <c r="F17" s="12"/>
      <c r="G17" s="60" t="str">
        <f t="shared" si="0"/>
        <v>https://doi.org/10.1080/16843703.2025.2452105</v>
      </c>
      <c r="H17" s="59" t="s">
        <v>886</v>
      </c>
      <c r="I17" s="12">
        <v>2025</v>
      </c>
      <c r="J17" s="12"/>
      <c r="K17" s="12"/>
      <c r="L17" s="12"/>
      <c r="M17" s="12"/>
      <c r="N17" s="12"/>
      <c r="O17" s="12"/>
      <c r="P17" s="12" t="s">
        <v>878</v>
      </c>
      <c r="Q17" s="12"/>
      <c r="R17" s="12"/>
      <c r="S17" s="12"/>
      <c r="T17" s="12"/>
      <c r="U17" s="12"/>
      <c r="V17" s="12"/>
      <c r="W17" s="12"/>
      <c r="X17" s="12"/>
      <c r="Y17" s="12"/>
      <c r="Z17" s="12"/>
      <c r="AA17" s="12"/>
      <c r="AB17" s="12"/>
    </row>
    <row r="18" spans="1:28" ht="13.2">
      <c r="A18" s="13"/>
      <c r="B18" s="12" t="s">
        <v>872</v>
      </c>
      <c r="C18" s="12" t="s">
        <v>876</v>
      </c>
      <c r="D18" s="12" t="s">
        <v>883</v>
      </c>
      <c r="E18" s="12" t="str">
        <f>IF(D18&lt;&gt;"","TF"&amp;COUNTIF($D$2:D18,"&lt;&gt;"),"")</f>
        <v>TF13</v>
      </c>
      <c r="F18" s="12"/>
      <c r="G18" s="60" t="str">
        <f t="shared" si="0"/>
        <v>https://doi.org/10.1080/10508422.2024.2396582</v>
      </c>
      <c r="H18" s="59" t="s">
        <v>887</v>
      </c>
      <c r="I18" s="12">
        <v>2024</v>
      </c>
      <c r="J18" s="12"/>
      <c r="K18" s="12"/>
      <c r="L18" s="12"/>
      <c r="M18" s="12"/>
      <c r="N18" s="12"/>
      <c r="O18" s="12"/>
      <c r="P18" s="12" t="s">
        <v>879</v>
      </c>
      <c r="Q18" s="12"/>
      <c r="R18" s="12"/>
      <c r="S18" s="12"/>
      <c r="T18" s="12"/>
      <c r="U18" s="12"/>
      <c r="V18" s="12"/>
      <c r="W18" s="12"/>
      <c r="X18" s="12"/>
      <c r="Y18" s="12"/>
      <c r="Z18" s="12"/>
      <c r="AA18" s="12"/>
      <c r="AB18" s="12"/>
    </row>
    <row r="19" spans="1:28" ht="13.2">
      <c r="A19" s="13"/>
      <c r="B19" s="12" t="s">
        <v>873</v>
      </c>
      <c r="C19" s="12" t="s">
        <v>876</v>
      </c>
      <c r="D19" s="12" t="s">
        <v>884</v>
      </c>
      <c r="E19" s="12" t="str">
        <f>IF(D19&lt;&gt;"","TF"&amp;COUNTIF($D$2:D19,"&lt;&gt;"),"")</f>
        <v>TF14</v>
      </c>
      <c r="F19" s="12"/>
      <c r="G19" s="60" t="str">
        <f t="shared" si="0"/>
        <v>https://doi.org/10.1080/03057240.2024.2393353</v>
      </c>
      <c r="H19" s="59" t="s">
        <v>888</v>
      </c>
      <c r="I19" s="12">
        <v>2024</v>
      </c>
      <c r="J19" s="12"/>
      <c r="K19" s="12"/>
      <c r="L19" s="12"/>
      <c r="M19" s="12"/>
      <c r="N19" s="12"/>
      <c r="O19" s="12"/>
      <c r="P19" s="12" t="s">
        <v>880</v>
      </c>
      <c r="Q19" s="12"/>
      <c r="R19" s="12"/>
      <c r="S19" s="12"/>
      <c r="T19" s="12"/>
      <c r="U19" s="12"/>
      <c r="V19" s="12"/>
      <c r="W19" s="12"/>
      <c r="X19" s="12"/>
      <c r="Y19" s="12"/>
      <c r="Z19" s="12"/>
      <c r="AA19" s="12"/>
      <c r="AB19" s="12"/>
    </row>
    <row r="20" spans="1:28" ht="13.2">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1:28" ht="13.2">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1:28" ht="13.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1:28" ht="13.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ht="13.2">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ht="13.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ht="13.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ht="13.2">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ht="13.2">
      <c r="A28" s="13"/>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ht="13.2">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ht="13.2">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ht="13.2">
      <c r="A31" s="13"/>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ht="13.2">
      <c r="A32" s="13"/>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ht="13.2">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1:28" ht="13.2">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1:28" ht="13.2">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spans="1:28" ht="13.2">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spans="1:28" ht="13.2">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ht="13.2">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ht="13.2">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ht="13.2">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ht="13.2">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spans="1:28" ht="13.2">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spans="1:28" ht="13.2">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spans="1:28" ht="13.2">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spans="1:28" ht="13.2">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spans="1:28" ht="13.2">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spans="1:28" ht="13.2">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spans="1:28" ht="13.2">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spans="1:28" ht="13.2">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spans="1:28" ht="13.2">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spans="1:28" ht="13.2">
      <c r="A51" s="13"/>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1:28" ht="13.2">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1:28" ht="13.2">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1:28" ht="13.2">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spans="1:28" ht="13.2">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spans="1:28" ht="13.2">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2">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spans="1:28" ht="13.2">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spans="1:28" ht="13.2">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spans="1:28" ht="13.2">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spans="1:28" ht="13.2">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spans="1:28" ht="13.2">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spans="1:28" ht="13.2">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spans="1:28" ht="13.2">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spans="1:28" ht="13.2">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spans="1:28" ht="13.2">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spans="1:28" ht="13.2">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spans="1:28" ht="13.2">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spans="1:28" ht="13.2">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spans="1:28" ht="13.2">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spans="1:28" ht="13.2">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spans="1:28" ht="13.2">
      <c r="A72" s="13"/>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spans="1:28" ht="13.2">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spans="1:28" ht="13.2">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spans="1:28" ht="13.2">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spans="1:28" ht="13.2">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spans="1:28" ht="13.2">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spans="1:28" ht="13.2">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2">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spans="1:28" ht="13.2">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2">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spans="1:28" ht="13.2">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2">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spans="1:28" ht="13.2">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spans="1:28" ht="13.2">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spans="1:28" ht="13.2">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1:28" ht="13.2">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spans="1:28" ht="13.2">
      <c r="A88" s="13"/>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13.2">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3.2">
      <c r="A90" s="13"/>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spans="1:28" ht="13.2">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3.2">
      <c r="A92" s="13"/>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spans="1:28" ht="13.2">
      <c r="A93" s="13"/>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spans="1:28" ht="13.2">
      <c r="A94" s="13"/>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3.2">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1:28" ht="13.2">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spans="1:28" ht="13.2">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spans="1:28" ht="13.2">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spans="1:28" ht="13.2">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spans="1:28" ht="13.2">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spans="1:28" ht="13.2">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spans="1:28" ht="13.2">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spans="1:28" ht="13.2">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spans="1:28" ht="13.2">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spans="1:28" ht="13.2">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spans="1:28" ht="13.2">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spans="1:28" ht="13.2">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spans="1:28" ht="13.2">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spans="1:28" ht="13.2">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spans="1:28" ht="13.2">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spans="1:28" ht="13.2">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spans="1:28" ht="13.2">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spans="1:28" ht="13.2">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spans="1:28" ht="13.2">
      <c r="A114" s="13"/>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spans="1:28" ht="13.2">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2">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spans="1:28" ht="13.2">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spans="1:28" ht="13.2">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spans="1:28" ht="13.2">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spans="1:28" ht="13.2">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spans="1:28" ht="13.2">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spans="1:28" ht="13.2">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spans="1:28" ht="13.2">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spans="1:28" ht="13.2">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spans="1:28" ht="13.2">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spans="1:28" ht="13.2">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spans="1:28" ht="13.2">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spans="1:28" ht="13.2">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spans="1:28" ht="13.2">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spans="1:28" ht="13.2">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spans="1:28" ht="13.2">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spans="1:28" ht="13.2">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spans="1:28" ht="13.2">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spans="1:28" ht="13.2">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spans="1:28" ht="13.2">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spans="1:28" ht="13.2">
      <c r="A136" s="13"/>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spans="1:28" ht="13.2">
      <c r="A137" s="13"/>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spans="1:28" ht="13.2">
      <c r="A138" s="13"/>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spans="1:28" ht="13.2">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2">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spans="1:28" ht="13.2">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2">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spans="1:28" ht="13.2">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spans="1:28" ht="13.2">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spans="1:28" ht="13.2">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spans="1:28" ht="13.2">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spans="1:28" ht="13.2">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spans="1:28" ht="13.2">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3.2">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spans="1:28" ht="13.2">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spans="1:28" ht="13.2">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spans="1:28" ht="13.2">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spans="1:28" ht="13.2">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spans="1:28" ht="13.2">
      <c r="A154" s="13"/>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spans="1:28" ht="13.2">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spans="1:28" ht="13.2">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13.2">
      <c r="A157" s="13"/>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3.2">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spans="1:28" ht="13.2">
      <c r="A159" s="13"/>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spans="1:28" ht="13.2">
      <c r="A160" s="13"/>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spans="1:28" ht="13.2">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spans="1:28" ht="13.2">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spans="1:28" ht="13.2">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spans="1:28" ht="13.2">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spans="1:28" ht="13.2">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spans="1:28" ht="13.2">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spans="1:28" ht="13.2">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3.2">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spans="1:28" ht="13.2">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spans="1:28" ht="13.2">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spans="1:28" ht="13.2">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spans="1:28" ht="13.2">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spans="1:28" ht="13.2">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spans="1:28" ht="13.2">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spans="1:28" ht="13.2">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3.2">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spans="1:28" ht="13.2">
      <c r="A177" s="13"/>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spans="1:28" ht="13.2">
      <c r="A178" s="13"/>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spans="1:28" ht="13.2">
      <c r="A179" s="13"/>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spans="1:28" ht="13.2">
      <c r="A180" s="13"/>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spans="1:28" ht="13.2">
      <c r="A181" s="13"/>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spans="1:28" ht="13.2">
      <c r="A182" s="13"/>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spans="1:28" ht="13.2">
      <c r="A183" s="13"/>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3.2">
      <c r="A184" s="13"/>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spans="1:28" ht="13.2">
      <c r="A185" s="13"/>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spans="1:28" ht="13.2">
      <c r="A186" s="13"/>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spans="1:28" ht="13.2">
      <c r="A187" s="13"/>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spans="1:28" ht="13.2">
      <c r="A188" s="13"/>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spans="1:28" ht="13.2">
      <c r="A189" s="13"/>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spans="1:28" ht="13.2">
      <c r="A190" s="13"/>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spans="1:28" ht="13.2">
      <c r="A191" s="13"/>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2">
      <c r="A192" s="13"/>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spans="1:28" ht="13.2">
      <c r="A193" s="13"/>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2">
      <c r="A194" s="13"/>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spans="1:28" ht="13.2">
      <c r="A195" s="13"/>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spans="1:28" ht="13.2">
      <c r="A196" s="13"/>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spans="1:28" ht="13.2">
      <c r="A197" s="13"/>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spans="1:28" ht="13.2">
      <c r="A198" s="13"/>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spans="1:28" ht="13.2">
      <c r="A199" s="13"/>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spans="1:28" ht="13.2">
      <c r="A200" s="13"/>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spans="1:28" ht="13.2">
      <c r="A201" s="13"/>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spans="1:28" ht="13.2">
      <c r="A202" s="13"/>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spans="1:28" ht="13.2">
      <c r="A203" s="13"/>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spans="1:28" ht="13.2">
      <c r="A204" s="13"/>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spans="1:28" ht="13.2">
      <c r="A205" s="13"/>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spans="1:28" ht="13.2">
      <c r="A206" s="13"/>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spans="1:28" ht="13.2">
      <c r="A207" s="13"/>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spans="1:28" ht="13.2">
      <c r="A208" s="13"/>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spans="1:28" ht="13.2">
      <c r="A209" s="13"/>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spans="1:28" ht="13.2">
      <c r="A210" s="13"/>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spans="1:28" ht="13.2">
      <c r="A211" s="13"/>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spans="1:28" ht="13.2">
      <c r="A212" s="13"/>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spans="1:28" ht="13.2">
      <c r="A213" s="13"/>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spans="1:28" ht="13.2">
      <c r="A214" s="13"/>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spans="1:28" ht="13.2">
      <c r="A215" s="13"/>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spans="1:28" ht="13.2">
      <c r="A216" s="13"/>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spans="1:28" ht="13.2">
      <c r="A217" s="13"/>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2">
      <c r="A218" s="13"/>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spans="1:28" ht="13.2">
      <c r="A219" s="13"/>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2">
      <c r="A220" s="13"/>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spans="1:28" ht="13.2">
      <c r="A221" s="13"/>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spans="1:28" ht="13.2">
      <c r="A222" s="13"/>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spans="1:28" ht="13.2">
      <c r="A223" s="13"/>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spans="1:28" ht="13.2">
      <c r="A224" s="13"/>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2">
      <c r="A225" s="13"/>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spans="1:28" ht="13.2">
      <c r="A226" s="13"/>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2">
      <c r="A227" s="13"/>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spans="1:28" ht="13.2">
      <c r="A228" s="13"/>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spans="1:28" ht="13.2">
      <c r="A229" s="13"/>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spans="1:28" ht="13.2">
      <c r="A230" s="13"/>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spans="1:28" ht="13.2">
      <c r="A231" s="13"/>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spans="1:28" ht="13.2">
      <c r="A232" s="13"/>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2">
      <c r="A233" s="13"/>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2">
      <c r="A234" s="13"/>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spans="1:28" ht="13.2">
      <c r="A235" s="13"/>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spans="1:28" ht="13.2">
      <c r="A236" s="13"/>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spans="1:28" ht="13.2">
      <c r="A237" s="13"/>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spans="1:28" ht="13.2">
      <c r="A238" s="13"/>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spans="1:28" ht="13.2">
      <c r="A239" s="13"/>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spans="1:28" ht="13.2">
      <c r="A240" s="13"/>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spans="1:28" ht="13.2">
      <c r="A241" s="13"/>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spans="1:28" ht="13.2">
      <c r="A242" s="13"/>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spans="1:28" ht="13.2">
      <c r="A243" s="13"/>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2">
      <c r="A244" s="13"/>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spans="1:28" ht="13.2">
      <c r="A245" s="13"/>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spans="1:28" ht="13.2">
      <c r="A246" s="13"/>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spans="1:28" ht="13.2">
      <c r="A247" s="13"/>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spans="1:28" ht="13.2">
      <c r="A248" s="13"/>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spans="1:28" ht="13.2">
      <c r="A249" s="13"/>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spans="1:28" ht="13.2">
      <c r="A250" s="13"/>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spans="1:28" ht="13.2">
      <c r="A251" s="13"/>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2">
      <c r="A252" s="13"/>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spans="1:28" ht="13.2">
      <c r="A253" s="13"/>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spans="1:28" ht="13.2">
      <c r="A254" s="13"/>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spans="1:28" ht="13.2">
      <c r="A255" s="13"/>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spans="1:28" ht="13.2">
      <c r="A256" s="13"/>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spans="1:28" ht="13.2">
      <c r="A257" s="13"/>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spans="1:28" ht="13.2">
      <c r="A258" s="13"/>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spans="1:28" ht="13.2">
      <c r="A259" s="13"/>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2">
      <c r="A260" s="13"/>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spans="1:28" ht="13.2">
      <c r="A261" s="13"/>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spans="1:28" ht="13.2">
      <c r="A262" s="13"/>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spans="1:28" ht="13.2">
      <c r="A263" s="13"/>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spans="1:28" ht="13.2">
      <c r="A264" s="13"/>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spans="1:28" ht="13.2">
      <c r="A265" s="13"/>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spans="1:28" ht="13.2">
      <c r="A266" s="13"/>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spans="1:28" ht="13.2">
      <c r="A267" s="13"/>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spans="1:28" ht="13.2">
      <c r="A268" s="13"/>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spans="1:28" ht="13.2">
      <c r="A269" s="13"/>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2">
      <c r="A270" s="13"/>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spans="1:28" ht="13.2">
      <c r="A271" s="13"/>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spans="1:28" ht="13.2">
      <c r="A272" s="13"/>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spans="1:28" ht="13.2">
      <c r="A273" s="13"/>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spans="1:28" ht="13.2">
      <c r="A274" s="13"/>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spans="1:28" ht="13.2">
      <c r="A275" s="13"/>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spans="1:28" ht="13.2">
      <c r="A276" s="13"/>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spans="1:28" ht="13.2">
      <c r="A277" s="13"/>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spans="1:28" ht="13.2">
      <c r="A278" s="13"/>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spans="1:28" ht="13.2">
      <c r="A279" s="13"/>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spans="1:28" ht="13.2">
      <c r="A280" s="13"/>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spans="1:28" ht="13.2">
      <c r="A281" s="13"/>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spans="1:28" ht="13.2">
      <c r="A282" s="13"/>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spans="1:28" ht="13.2">
      <c r="A283" s="13"/>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spans="1:28" ht="13.2">
      <c r="A284" s="13"/>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spans="1:28" ht="13.2">
      <c r="A285" s="13"/>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spans="1:28" ht="13.2">
      <c r="A286" s="13"/>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spans="1:28" ht="13.2">
      <c r="A287" s="13"/>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spans="1:28" ht="13.2">
      <c r="A288" s="13"/>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2">
      <c r="A289" s="13"/>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2">
      <c r="A290" s="13"/>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2">
      <c r="A291" s="13"/>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2">
      <c r="A292" s="13"/>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2">
      <c r="A293" s="13"/>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2">
      <c r="A294" s="13"/>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2">
      <c r="A295" s="13"/>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2">
      <c r="A296" s="13"/>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spans="1:28" ht="13.2">
      <c r="A297" s="13"/>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2">
      <c r="A298" s="13"/>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2">
      <c r="A299" s="13"/>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2">
      <c r="A300" s="13"/>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spans="1:28" ht="13.2">
      <c r="A301" s="13"/>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spans="1:28" ht="13.2">
      <c r="A302" s="13"/>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spans="1:28" ht="13.2">
      <c r="A303" s="13"/>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spans="1:28" ht="13.2">
      <c r="A304" s="13"/>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spans="1:28" ht="13.2">
      <c r="A305" s="13"/>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spans="1:28" ht="13.2">
      <c r="A306" s="13"/>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spans="1:28" ht="13.2">
      <c r="A307" s="13"/>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spans="1:28" ht="13.2">
      <c r="A308" s="13"/>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spans="1:28" ht="13.2">
      <c r="A309" s="13"/>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spans="1:28" ht="13.2">
      <c r="A310" s="13"/>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spans="1:28" ht="13.2">
      <c r="A311" s="13"/>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spans="1:28" ht="13.2">
      <c r="A312" s="13"/>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spans="1:28" ht="13.2">
      <c r="A313" s="13"/>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spans="1:28" ht="13.2">
      <c r="A314" s="13"/>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spans="1:28" ht="13.2">
      <c r="A315" s="13"/>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spans="1:28" ht="13.2">
      <c r="A316" s="13"/>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spans="1:28" ht="13.2">
      <c r="A317" s="13"/>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spans="1:28" ht="13.2">
      <c r="A318" s="13"/>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spans="1:28" ht="13.2">
      <c r="A319" s="13"/>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spans="1:28" ht="13.2">
      <c r="A320" s="13"/>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spans="1:28" ht="13.2">
      <c r="A321" s="13"/>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spans="1:28" ht="13.2">
      <c r="A322" s="13"/>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spans="1:28" ht="13.2">
      <c r="A323" s="13"/>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spans="1:28" ht="13.2">
      <c r="A324" s="13"/>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spans="1:28" ht="13.2">
      <c r="A325" s="13"/>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spans="1:28" ht="13.2">
      <c r="A326" s="13"/>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spans="1:28" ht="13.2">
      <c r="A327" s="13"/>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spans="1:28" ht="13.2">
      <c r="A328" s="13"/>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spans="1:28" ht="13.2">
      <c r="A329" s="13"/>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spans="1:28" ht="13.2">
      <c r="A330" s="13"/>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spans="1:28" ht="13.2">
      <c r="A331" s="13"/>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spans="1:28" ht="13.2">
      <c r="A332" s="13"/>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spans="1:28" ht="13.2">
      <c r="A333" s="13"/>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spans="1:28" ht="13.2">
      <c r="A334" s="13"/>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spans="1:28" ht="13.2">
      <c r="A335" s="13"/>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spans="1:28" ht="13.2">
      <c r="A336" s="13"/>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spans="1:28" ht="13.2">
      <c r="A337" s="13"/>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spans="1:28" ht="13.2">
      <c r="A338" s="13"/>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spans="1:28" ht="13.2">
      <c r="A339" s="13"/>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spans="1:28" ht="13.2">
      <c r="A340" s="13"/>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spans="1:28" ht="13.2">
      <c r="A341" s="13"/>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spans="1:28" ht="13.2">
      <c r="A342" s="13"/>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spans="1:28" ht="13.2">
      <c r="A343" s="13"/>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spans="1:28" ht="13.2">
      <c r="A344" s="13"/>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spans="1:28" ht="13.2">
      <c r="A345" s="13"/>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spans="1:28" ht="13.2">
      <c r="A346" s="13"/>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spans="1:28" ht="13.2">
      <c r="A347" s="13"/>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spans="1:28" ht="13.2">
      <c r="A348" s="13"/>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spans="1:28" ht="13.2">
      <c r="A349" s="13"/>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spans="1:28" ht="13.2">
      <c r="A350" s="13"/>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spans="1:28" ht="13.2">
      <c r="A351" s="13"/>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spans="1:28" ht="13.2">
      <c r="A352" s="13"/>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spans="1:28" ht="13.2">
      <c r="A353" s="13"/>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spans="1:28" ht="13.2">
      <c r="A354" s="13"/>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spans="1:28" ht="13.2">
      <c r="A355" s="13"/>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spans="1:28" ht="13.2">
      <c r="A356" s="13"/>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spans="1:28" ht="13.2">
      <c r="A357" s="13"/>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spans="1:28" ht="13.2">
      <c r="A358" s="13"/>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spans="1:28" ht="13.2">
      <c r="A359" s="13"/>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spans="1:28" ht="13.2">
      <c r="A360" s="13"/>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spans="1:28" ht="13.2">
      <c r="A361" s="13"/>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spans="1:28" ht="13.2">
      <c r="A362" s="13"/>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spans="1:28" ht="13.2">
      <c r="A363" s="13"/>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spans="1:28" ht="13.2">
      <c r="A364" s="13"/>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spans="1:28" ht="13.2">
      <c r="A365" s="13"/>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spans="1:28" ht="13.2">
      <c r="A366" s="13"/>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spans="1:28" ht="13.2">
      <c r="A367" s="13"/>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spans="1:28" ht="13.2">
      <c r="A368" s="13"/>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spans="1:28" ht="13.2">
      <c r="A369" s="13"/>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spans="1:28" ht="13.2">
      <c r="A370" s="13"/>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spans="1:28" ht="13.2">
      <c r="A371" s="13"/>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spans="1:28" ht="13.2">
      <c r="A372" s="13"/>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spans="1:28" ht="13.2">
      <c r="A373" s="13"/>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spans="1:28" ht="13.2">
      <c r="A374" s="13"/>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spans="1:28" ht="13.2">
      <c r="A375" s="13"/>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spans="1:28" ht="13.2">
      <c r="A376" s="13"/>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spans="1:28" ht="13.2">
      <c r="A377" s="13"/>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spans="1:28" ht="13.2">
      <c r="A378" s="13"/>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spans="1:28" ht="13.2">
      <c r="A379" s="13"/>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spans="1:28" ht="13.2">
      <c r="A380" s="13"/>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spans="1:28" ht="13.2">
      <c r="A381" s="13"/>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spans="1:28" ht="13.2">
      <c r="A382" s="13"/>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spans="1:28" ht="13.2">
      <c r="A383" s="13"/>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spans="1:28" ht="13.2">
      <c r="A384" s="13"/>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spans="1:28" ht="13.2">
      <c r="A385" s="13"/>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spans="1:28" ht="13.2">
      <c r="A386" s="13"/>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spans="1:28" ht="13.2">
      <c r="A387" s="13"/>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spans="1:28" ht="13.2">
      <c r="A388" s="13"/>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spans="1:28" ht="13.2">
      <c r="A389" s="13"/>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spans="1:28" ht="13.2">
      <c r="A390" s="13"/>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spans="1:28" ht="13.2">
      <c r="A391" s="13"/>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spans="1:28" ht="13.2">
      <c r="A392" s="13"/>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spans="1:28" ht="13.2">
      <c r="A393" s="13"/>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spans="1:28" ht="13.2">
      <c r="A394" s="13"/>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spans="1:28" ht="13.2">
      <c r="A395" s="13"/>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spans="1:28" ht="13.2">
      <c r="A396" s="13"/>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spans="1:28" ht="13.2">
      <c r="A397" s="13"/>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spans="1:28" ht="13.2">
      <c r="A398" s="13"/>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spans="1:28" ht="13.2">
      <c r="A399" s="13"/>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spans="1:28" ht="13.2">
      <c r="A400" s="13"/>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spans="1:28" ht="13.2">
      <c r="A401" s="13"/>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spans="1:28" ht="13.2">
      <c r="A402" s="13"/>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spans="1:28" ht="13.2">
      <c r="A403" s="13"/>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spans="1:28" ht="13.2">
      <c r="A404" s="13"/>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spans="1:28" ht="13.2">
      <c r="A405" s="13"/>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spans="1:28" ht="13.2">
      <c r="A406" s="13"/>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spans="1:28" ht="13.2">
      <c r="A407" s="13"/>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spans="1:28" ht="13.2">
      <c r="A408" s="13"/>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spans="1:28" ht="13.2">
      <c r="A409" s="13"/>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spans="1:28" ht="13.2">
      <c r="A410" s="13"/>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spans="1:28" ht="13.2">
      <c r="A411" s="13"/>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spans="1:28" ht="13.2">
      <c r="A412" s="13"/>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spans="1:28" ht="13.2">
      <c r="A413" s="13"/>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spans="1:28" ht="13.2">
      <c r="A414" s="13"/>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spans="1:28" ht="13.2">
      <c r="A415" s="13"/>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spans="1:28" ht="13.2">
      <c r="A416" s="13"/>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spans="1:28" ht="13.2">
      <c r="A417" s="13"/>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spans="1:28" ht="13.2">
      <c r="A418" s="13"/>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spans="1:28" ht="13.2">
      <c r="A419" s="13"/>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spans="1:28" ht="13.2">
      <c r="A420" s="13"/>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spans="1:28" ht="13.2">
      <c r="A421" s="13"/>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spans="1:28" ht="13.2">
      <c r="A422" s="13"/>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spans="1:28" ht="13.2">
      <c r="A423" s="13"/>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spans="1:28" ht="13.2">
      <c r="A424" s="13"/>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spans="1:28" ht="13.2">
      <c r="A425" s="13"/>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spans="1:28" ht="13.2">
      <c r="A426" s="13"/>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spans="1:28" ht="13.2">
      <c r="A427" s="13"/>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spans="1:28" ht="13.2">
      <c r="A428" s="13"/>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spans="1:28" ht="13.2">
      <c r="A429" s="13"/>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spans="1:28" ht="13.2">
      <c r="A430" s="13"/>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spans="1:28" ht="13.2">
      <c r="A431" s="13"/>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spans="1:28" ht="13.2">
      <c r="A432" s="13"/>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spans="1:28" ht="13.2">
      <c r="A433" s="13"/>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spans="1:28" ht="13.2">
      <c r="A434" s="13"/>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spans="1:28" ht="13.2">
      <c r="A435" s="13"/>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spans="1:28" ht="13.2">
      <c r="A436" s="13"/>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spans="1:28" ht="13.2">
      <c r="A437" s="13"/>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spans="1:28" ht="13.2">
      <c r="A438" s="13"/>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spans="1:28" ht="13.2">
      <c r="A439" s="13"/>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spans="1:28" ht="13.2">
      <c r="A440" s="13"/>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spans="1:28" ht="13.2">
      <c r="A441" s="13"/>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spans="1:28" ht="13.2">
      <c r="A442" s="13"/>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spans="1:28" ht="13.2">
      <c r="A443" s="13"/>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spans="1:28" ht="13.2">
      <c r="A444" s="13"/>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spans="1:28" ht="13.2">
      <c r="A445" s="13"/>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spans="1:28" ht="13.2">
      <c r="A446" s="13"/>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spans="1:28" ht="13.2">
      <c r="A447" s="13"/>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spans="1:28" ht="13.2">
      <c r="A448" s="13"/>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spans="1:28" ht="13.2">
      <c r="A449" s="13"/>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spans="1:28" ht="13.2">
      <c r="A450" s="13"/>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spans="1:28" ht="13.2">
      <c r="A451" s="13"/>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spans="1:28" ht="13.2">
      <c r="A452" s="13"/>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spans="1:28" ht="13.2">
      <c r="A453" s="13"/>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spans="1:28" ht="13.2">
      <c r="A454" s="13"/>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spans="1:28" ht="13.2">
      <c r="A455" s="13"/>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spans="1:28" ht="13.2">
      <c r="A456" s="13"/>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spans="1:28" ht="13.2">
      <c r="A457" s="13"/>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spans="1:28" ht="13.2">
      <c r="A458" s="13"/>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spans="1:28" ht="13.2">
      <c r="A459" s="13"/>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spans="1:28" ht="13.2">
      <c r="A460" s="13"/>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spans="1:28" ht="13.2">
      <c r="A461" s="13"/>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spans="1:28" ht="13.2">
      <c r="A462" s="13"/>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spans="1:28" ht="13.2">
      <c r="A463" s="13"/>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spans="1:28" ht="13.2">
      <c r="A464" s="13"/>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spans="1:28" ht="13.2">
      <c r="A465" s="13"/>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spans="1:28" ht="13.2">
      <c r="A466" s="13"/>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spans="1:28" ht="13.2">
      <c r="A467" s="13"/>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spans="1:28" ht="13.2">
      <c r="A468" s="13"/>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spans="1:28" ht="13.2">
      <c r="A469" s="13"/>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spans="1:28" ht="13.2">
      <c r="A470" s="13"/>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spans="1:28" ht="13.2">
      <c r="A471" s="13"/>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spans="1:28" ht="13.2">
      <c r="A472" s="13"/>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spans="1:28" ht="13.2">
      <c r="A473" s="13"/>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spans="1:28" ht="13.2">
      <c r="A474" s="13"/>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spans="1:28" ht="13.2">
      <c r="A475" s="13"/>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spans="1:28" ht="13.2">
      <c r="A476" s="13"/>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spans="1:28" ht="13.2">
      <c r="A477" s="13"/>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spans="1:28" ht="13.2">
      <c r="A478" s="13"/>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spans="1:28" ht="13.2">
      <c r="A479" s="13"/>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spans="1:28" ht="13.2">
      <c r="A480" s="13"/>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spans="1:28" ht="13.2">
      <c r="A481" s="13"/>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spans="1:28" ht="13.2">
      <c r="A482" s="13"/>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spans="1:28" ht="13.2">
      <c r="A483" s="13"/>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spans="1:28" ht="13.2">
      <c r="A484" s="13"/>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spans="1:28" ht="13.2">
      <c r="A485" s="13"/>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spans="1:28" ht="13.2">
      <c r="A486" s="13"/>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spans="1:28" ht="13.2">
      <c r="A487" s="13"/>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spans="1:28" ht="13.2">
      <c r="A488" s="13"/>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spans="1:28" ht="13.2">
      <c r="A489" s="13"/>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spans="1:28" ht="13.2">
      <c r="A490" s="13"/>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spans="1:28" ht="13.2">
      <c r="A491" s="13"/>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spans="1:28" ht="13.2">
      <c r="A492" s="13"/>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spans="1:28" ht="13.2">
      <c r="A493" s="13"/>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spans="1:28" ht="13.2">
      <c r="A494" s="13"/>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spans="1:28" ht="13.2">
      <c r="A495" s="13"/>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spans="1:28" ht="13.2">
      <c r="A496" s="13"/>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spans="1:28" ht="13.2">
      <c r="A497" s="13"/>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spans="1:28" ht="13.2">
      <c r="A498" s="13"/>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spans="1:28" ht="13.2">
      <c r="A499" s="13"/>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spans="1:28" ht="13.2">
      <c r="A500" s="13"/>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spans="1:28" ht="13.2">
      <c r="A501" s="13"/>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spans="1:28" ht="13.2">
      <c r="A502" s="13"/>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spans="1:28" ht="13.2">
      <c r="A503" s="13"/>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spans="1:28" ht="13.2">
      <c r="A504" s="13"/>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spans="1:28" ht="13.2">
      <c r="A505" s="13"/>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spans="1:28" ht="13.2">
      <c r="A506" s="13"/>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spans="1:28" ht="13.2">
      <c r="A507" s="13"/>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spans="1:28" ht="13.2">
      <c r="A508" s="13"/>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spans="1:28" ht="13.2">
      <c r="A509" s="13"/>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spans="1:28" ht="13.2">
      <c r="A510" s="13"/>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spans="1:28" ht="13.2">
      <c r="A511" s="13"/>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spans="1:28" ht="13.2">
      <c r="A512" s="13"/>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spans="1:28" ht="13.2">
      <c r="A513" s="13"/>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spans="1:28" ht="13.2">
      <c r="A514" s="13"/>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spans="1:28" ht="13.2">
      <c r="A515" s="13"/>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spans="1:28" ht="13.2">
      <c r="A516" s="13"/>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spans="1:28" ht="13.2">
      <c r="A517" s="13"/>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spans="1:28" ht="13.2">
      <c r="A518" s="13"/>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spans="1:28" ht="13.2">
      <c r="A519" s="13"/>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spans="1:28" ht="13.2">
      <c r="A520" s="13"/>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spans="1:28" ht="13.2">
      <c r="A521" s="13"/>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spans="1:28" ht="13.2">
      <c r="A522" s="13"/>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spans="1:28" ht="13.2">
      <c r="A523" s="13"/>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spans="1:28" ht="13.2">
      <c r="A524" s="13"/>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spans="1:28" ht="13.2">
      <c r="A525" s="13"/>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spans="1:28" ht="13.2">
      <c r="A526" s="13"/>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spans="1:28" ht="13.2">
      <c r="A527" s="13"/>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spans="1:28" ht="13.2">
      <c r="A528" s="13"/>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spans="1:28" ht="13.2">
      <c r="A529" s="13"/>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spans="1:28" ht="13.2">
      <c r="A530" s="13"/>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spans="1:28" ht="13.2">
      <c r="A531" s="13"/>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spans="1:28" ht="13.2">
      <c r="A532" s="13"/>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spans="1:28" ht="13.2">
      <c r="A533" s="13"/>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spans="1:28" ht="13.2">
      <c r="A534" s="13"/>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spans="1:28" ht="13.2">
      <c r="A535" s="13"/>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spans="1:28" ht="13.2">
      <c r="A536" s="13"/>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spans="1:28" ht="13.2">
      <c r="A537" s="13"/>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spans="1:28" ht="13.2">
      <c r="A538" s="13"/>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spans="1:28" ht="13.2">
      <c r="A539" s="13"/>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spans="1:28" ht="13.2">
      <c r="A540" s="13"/>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spans="1:28" ht="13.2">
      <c r="A541" s="13"/>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spans="1:28" ht="13.2">
      <c r="A542" s="13"/>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spans="1:28" ht="13.2">
      <c r="A543" s="13"/>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spans="1:28" ht="13.2">
      <c r="A544" s="13"/>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spans="1:28" ht="13.2">
      <c r="A545" s="13"/>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spans="1:28" ht="13.2">
      <c r="A546" s="13"/>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spans="1:28" ht="13.2">
      <c r="A547" s="13"/>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spans="1:28" ht="13.2">
      <c r="A548" s="13"/>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spans="1:28" ht="13.2">
      <c r="A549" s="13"/>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spans="1:28" ht="13.2">
      <c r="A550" s="13"/>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spans="1:28" ht="13.2">
      <c r="A551" s="13"/>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spans="1:28" ht="13.2">
      <c r="A552" s="13"/>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spans="1:28" ht="13.2">
      <c r="A553" s="13"/>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spans="1:28" ht="13.2">
      <c r="A554" s="13"/>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spans="1:28" ht="13.2">
      <c r="A555" s="13"/>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spans="1:28" ht="13.2">
      <c r="A556" s="13"/>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spans="1:28" ht="13.2">
      <c r="A557" s="13"/>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spans="1:28" ht="13.2">
      <c r="A558" s="13"/>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spans="1:28" ht="13.2">
      <c r="A559" s="13"/>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spans="1:28" ht="13.2">
      <c r="A560" s="13"/>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spans="1:28" ht="13.2">
      <c r="A561" s="13"/>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spans="1:28" ht="13.2">
      <c r="A562" s="13"/>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spans="1:28" ht="13.2">
      <c r="A563" s="13"/>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spans="1:28" ht="13.2">
      <c r="A564" s="13"/>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spans="1:28" ht="13.2">
      <c r="A565" s="13"/>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spans="1:28" ht="13.2">
      <c r="A566" s="13"/>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spans="1:28" ht="13.2">
      <c r="A567" s="13"/>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spans="1:28" ht="13.2">
      <c r="A568" s="13"/>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spans="1:28" ht="13.2">
      <c r="A569" s="13"/>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spans="1:28" ht="13.2">
      <c r="A570" s="13"/>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spans="1:28" ht="13.2">
      <c r="A571" s="13"/>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spans="1:28" ht="13.2">
      <c r="A572" s="13"/>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spans="1:28" ht="13.2">
      <c r="A573" s="13"/>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spans="1:28" ht="13.2">
      <c r="A574" s="13"/>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spans="1:28" ht="13.2">
      <c r="A575" s="13"/>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spans="1:28" ht="13.2">
      <c r="A576" s="13"/>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spans="1:28" ht="13.2">
      <c r="A577" s="13"/>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spans="1:28" ht="13.2">
      <c r="A578" s="13"/>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spans="1:28" ht="13.2">
      <c r="A579" s="13"/>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spans="1:28" ht="13.2">
      <c r="A580" s="13"/>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spans="1:28" ht="13.2">
      <c r="A581" s="13"/>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spans="1:28" ht="13.2">
      <c r="A582" s="13"/>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spans="1:28" ht="13.2">
      <c r="A583" s="13"/>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spans="1:28" ht="13.2">
      <c r="A584" s="13"/>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spans="1:28" ht="13.2">
      <c r="A585" s="13"/>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spans="1:28" ht="13.2">
      <c r="A586" s="13"/>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spans="1:28" ht="13.2">
      <c r="A587" s="13"/>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spans="1:28" ht="13.2">
      <c r="A588" s="13"/>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spans="1:28" ht="13.2">
      <c r="A589" s="13"/>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spans="1:28" ht="13.2">
      <c r="A590" s="13"/>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spans="1:28" ht="13.2">
      <c r="A591" s="13"/>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spans="1:28" ht="13.2">
      <c r="A592" s="13"/>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spans="1:28" ht="13.2">
      <c r="A593" s="13"/>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spans="1:28" ht="13.2">
      <c r="A594" s="13"/>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spans="1:28" ht="13.2">
      <c r="A595" s="13"/>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spans="1:28" ht="13.2">
      <c r="A596" s="13"/>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spans="1:28" ht="13.2">
      <c r="A597" s="13"/>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spans="1:28" ht="13.2">
      <c r="A598" s="13"/>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spans="1:28" ht="13.2">
      <c r="A599" s="13"/>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spans="1:28" ht="13.2">
      <c r="A600" s="13"/>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spans="1:28" ht="13.2">
      <c r="A601" s="13"/>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spans="1:28" ht="13.2">
      <c r="A602" s="13"/>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spans="1:28" ht="13.2">
      <c r="A603" s="13"/>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spans="1:28" ht="13.2">
      <c r="A604" s="13"/>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spans="1:28" ht="13.2">
      <c r="A605" s="13"/>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spans="1:28" ht="13.2">
      <c r="A606" s="13"/>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spans="1:28" ht="13.2">
      <c r="A607" s="13"/>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spans="1:28" ht="13.2">
      <c r="A608" s="13"/>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spans="1:28" ht="13.2">
      <c r="A609" s="13"/>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spans="1:28" ht="13.2">
      <c r="A610" s="13"/>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spans="1:28" ht="13.2">
      <c r="A611" s="13"/>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spans="1:28" ht="13.2">
      <c r="A612" s="13"/>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spans="1:28" ht="13.2">
      <c r="A613" s="13"/>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spans="1:28" ht="13.2">
      <c r="A614" s="13"/>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spans="1:28" ht="13.2">
      <c r="A615" s="13"/>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spans="1:28" ht="13.2">
      <c r="A616" s="13"/>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spans="1:28" ht="13.2">
      <c r="A617" s="13"/>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spans="1:28" ht="13.2">
      <c r="A618" s="13"/>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spans="1:28" ht="13.2">
      <c r="A619" s="13"/>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spans="1:28" ht="13.2">
      <c r="A620" s="13"/>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spans="1:28" ht="13.2">
      <c r="A621" s="13"/>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spans="1:28" ht="13.2">
      <c r="A622" s="13"/>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spans="1:28" ht="13.2">
      <c r="A623" s="13"/>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spans="1:28" ht="13.2">
      <c r="A624" s="13"/>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spans="1:28" ht="13.2">
      <c r="A625" s="13"/>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spans="1:28" ht="13.2">
      <c r="A626" s="13"/>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spans="1:28" ht="13.2">
      <c r="A627" s="13"/>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spans="1:28" ht="13.2">
      <c r="A628" s="13"/>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spans="1:28" ht="13.2">
      <c r="A629" s="13"/>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spans="1:28" ht="13.2">
      <c r="A630" s="13"/>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spans="1:28" ht="13.2">
      <c r="A631" s="13"/>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spans="1:28" ht="13.2">
      <c r="A632" s="13"/>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spans="1:28" ht="13.2">
      <c r="A633" s="13"/>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spans="1:28" ht="13.2">
      <c r="A634" s="13"/>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spans="1:28" ht="13.2">
      <c r="A635" s="13"/>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spans="1:28" ht="13.2">
      <c r="A636" s="13"/>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spans="1:28" ht="13.2">
      <c r="A637" s="13"/>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spans="1:28" ht="13.2">
      <c r="A638" s="13"/>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spans="1:28" ht="13.2">
      <c r="A639" s="13"/>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spans="1:28" ht="13.2">
      <c r="A640" s="13"/>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spans="1:28" ht="13.2">
      <c r="A641" s="13"/>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spans="1:28" ht="13.2">
      <c r="A642" s="13"/>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spans="1:28" ht="13.2">
      <c r="A643" s="13"/>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spans="1:28" ht="13.2">
      <c r="A644" s="13"/>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spans="1:28" ht="13.2">
      <c r="A645" s="13"/>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spans="1:28" ht="13.2">
      <c r="A646" s="13"/>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spans="1:28" ht="13.2">
      <c r="A647" s="13"/>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spans="1:28" ht="13.2">
      <c r="A648" s="13"/>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spans="1:28" ht="13.2">
      <c r="A649" s="13"/>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spans="1:28" ht="13.2">
      <c r="A650" s="13"/>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spans="1:28" ht="13.2">
      <c r="A651" s="13"/>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spans="1:28" ht="13.2">
      <c r="A652" s="13"/>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spans="1:28" ht="13.2">
      <c r="A653" s="13"/>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spans="1:28" ht="13.2">
      <c r="A654" s="13"/>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spans="1:28" ht="13.2">
      <c r="A655" s="13"/>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spans="1:28" ht="13.2">
      <c r="A656" s="13"/>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spans="1:28" ht="13.2">
      <c r="A657" s="13"/>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spans="1:28" ht="13.2">
      <c r="A658" s="13"/>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spans="1:28" ht="13.2">
      <c r="A659" s="13"/>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spans="1:28" ht="13.2">
      <c r="A660" s="13"/>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spans="1:28" ht="13.2">
      <c r="A661" s="13"/>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spans="1:28" ht="13.2">
      <c r="A662" s="13"/>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spans="1:28" ht="13.2">
      <c r="A663" s="13"/>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spans="1:28" ht="13.2">
      <c r="A664" s="13"/>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spans="1:28" ht="13.2">
      <c r="A665" s="13"/>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spans="1:28" ht="13.2">
      <c r="A666" s="13"/>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spans="1:28" ht="13.2">
      <c r="A667" s="13"/>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spans="1:28" ht="13.2">
      <c r="A668" s="13"/>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spans="1:28" ht="13.2">
      <c r="A669" s="13"/>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spans="1:28" ht="13.2">
      <c r="A670" s="13"/>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spans="1:28" ht="13.2">
      <c r="A671" s="13"/>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spans="1:28" ht="13.2">
      <c r="A672" s="13"/>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spans="1:28" ht="13.2">
      <c r="A673" s="13"/>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spans="1:28" ht="13.2">
      <c r="A674" s="13"/>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spans="1:28" ht="13.2">
      <c r="A675" s="13"/>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spans="1:28" ht="13.2">
      <c r="A676" s="13"/>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spans="1:28" ht="13.2">
      <c r="A677" s="13"/>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spans="1:28" ht="13.2">
      <c r="A678" s="13"/>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spans="1:28" ht="13.2">
      <c r="A679" s="13"/>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spans="1:28" ht="13.2">
      <c r="A680" s="13"/>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spans="1:28" ht="13.2">
      <c r="A681" s="13"/>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spans="1:28" ht="13.2">
      <c r="A682" s="13"/>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spans="1:28" ht="13.2">
      <c r="A683" s="13"/>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spans="1:28" ht="13.2">
      <c r="A684" s="13"/>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spans="1:28" ht="13.2">
      <c r="A685" s="13"/>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spans="1:28" ht="13.2">
      <c r="A686" s="13"/>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spans="1:28" ht="13.2">
      <c r="A687" s="13"/>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spans="1:28" ht="13.2">
      <c r="A688" s="13"/>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spans="1:28" ht="13.2">
      <c r="A689" s="13"/>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spans="1:28" ht="13.2">
      <c r="A690" s="13"/>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spans="1:28" ht="13.2">
      <c r="A691" s="13"/>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spans="1:28" ht="13.2">
      <c r="A692" s="13"/>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spans="1:28" ht="13.2">
      <c r="A693" s="13"/>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spans="1:28" ht="13.2">
      <c r="A694" s="13"/>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spans="1:28" ht="13.2">
      <c r="A695" s="13"/>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spans="1:28" ht="13.2">
      <c r="A696" s="13"/>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spans="1:28" ht="13.2">
      <c r="A697" s="13"/>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spans="1:28" ht="13.2">
      <c r="A698" s="13"/>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spans="1:28" ht="13.2">
      <c r="A699" s="13"/>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spans="1:28" ht="13.2">
      <c r="A700" s="13"/>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spans="1:28" ht="13.2">
      <c r="A701" s="13"/>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spans="1:28" ht="13.2">
      <c r="A702" s="13"/>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spans="1:28" ht="13.2">
      <c r="A703" s="13"/>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spans="1:28" ht="13.2">
      <c r="A704" s="13"/>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spans="1:28" ht="13.2">
      <c r="A705" s="13"/>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spans="1:28" ht="13.2">
      <c r="A706" s="13"/>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spans="1:28" ht="13.2">
      <c r="A707" s="13"/>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spans="1:28" ht="13.2">
      <c r="A708" s="13"/>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spans="1:28" ht="13.2">
      <c r="A709" s="13"/>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spans="1:28" ht="13.2">
      <c r="A710" s="13"/>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spans="1:28" ht="13.2">
      <c r="A711" s="13"/>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spans="1:28" ht="13.2">
      <c r="A712" s="13"/>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spans="1:28" ht="13.2">
      <c r="A713" s="13"/>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spans="1:28" ht="13.2">
      <c r="A714" s="13"/>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spans="1:28" ht="13.2">
      <c r="A715" s="13"/>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spans="1:28" ht="13.2">
      <c r="A716" s="13"/>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spans="1:28" ht="13.2">
      <c r="A717" s="13"/>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spans="1:28" ht="13.2">
      <c r="A718" s="13"/>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spans="1:28" ht="13.2">
      <c r="A719" s="13"/>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spans="1:28" ht="13.2">
      <c r="A720" s="13"/>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spans="1:28" ht="13.2">
      <c r="A721" s="13"/>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spans="1:28" ht="13.2">
      <c r="A722" s="13"/>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spans="1:28" ht="13.2">
      <c r="A723" s="13"/>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spans="1:28" ht="13.2">
      <c r="A724" s="13"/>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spans="1:28" ht="13.2">
      <c r="A725" s="13"/>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spans="1:28" ht="13.2">
      <c r="A726" s="13"/>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spans="1:28" ht="13.2">
      <c r="A727" s="13"/>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spans="1:28" ht="13.2">
      <c r="A728" s="13"/>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spans="1:28" ht="13.2">
      <c r="A729" s="13"/>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spans="1:28" ht="13.2">
      <c r="A730" s="13"/>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spans="1:28" ht="13.2">
      <c r="A731" s="13"/>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spans="1:28" ht="13.2">
      <c r="A732" s="13"/>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spans="1:28" ht="13.2">
      <c r="A733" s="13"/>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spans="1:28" ht="13.2">
      <c r="A734" s="13"/>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spans="1:28" ht="13.2">
      <c r="A735" s="13"/>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spans="1:28" ht="13.2">
      <c r="A736" s="13"/>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spans="1:28" ht="13.2">
      <c r="A737" s="13"/>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spans="1:28" ht="13.2">
      <c r="A738" s="13"/>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spans="1:28" ht="13.2">
      <c r="A739" s="13"/>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spans="1:28" ht="13.2">
      <c r="A740" s="13"/>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spans="1:28" ht="13.2">
      <c r="A741" s="13"/>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spans="1:28" ht="13.2">
      <c r="A742" s="13"/>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spans="1:28" ht="13.2">
      <c r="A743" s="13"/>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spans="1:28" ht="13.2">
      <c r="A744" s="13"/>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spans="1:28" ht="13.2">
      <c r="A745" s="13"/>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spans="1:28" ht="13.2">
      <c r="A746" s="13"/>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spans="1:28" ht="13.2">
      <c r="A747" s="13"/>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spans="1:28" ht="13.2">
      <c r="A748" s="13"/>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spans="1:28" ht="13.2">
      <c r="A749" s="13"/>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spans="1:28" ht="13.2">
      <c r="A750" s="13"/>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spans="1:28" ht="13.2">
      <c r="A751" s="13"/>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spans="1:28" ht="13.2">
      <c r="A752" s="13"/>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spans="1:28" ht="13.2">
      <c r="A753" s="13"/>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spans="1:28" ht="13.2">
      <c r="A754" s="13"/>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spans="1:28" ht="13.2">
      <c r="A755" s="13"/>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spans="1:28" ht="13.2">
      <c r="A756" s="13"/>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spans="1:28" ht="13.2">
      <c r="A757" s="13"/>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spans="1:28" ht="13.2">
      <c r="A758" s="13"/>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spans="1:28" ht="13.2">
      <c r="A759" s="13"/>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spans="1:28" ht="13.2">
      <c r="A760" s="13"/>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spans="1:28" ht="13.2">
      <c r="A761" s="13"/>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spans="1:28" ht="13.2">
      <c r="A762" s="13"/>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spans="1:28" ht="13.2">
      <c r="A763" s="13"/>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spans="1:28" ht="13.2">
      <c r="A764" s="13"/>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spans="1:28" ht="13.2">
      <c r="A765" s="13"/>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spans="1:28" ht="13.2">
      <c r="A766" s="13"/>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spans="1:28" ht="13.2">
      <c r="A767" s="13"/>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spans="1:28" ht="13.2">
      <c r="A768" s="13"/>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spans="1:28" ht="13.2">
      <c r="A769" s="13"/>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spans="1:28" ht="13.2">
      <c r="A770" s="13"/>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spans="1:28" ht="13.2">
      <c r="A771" s="13"/>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spans="1:28" ht="13.2">
      <c r="A772" s="13"/>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spans="1:28" ht="13.2">
      <c r="A773" s="13"/>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spans="1:28" ht="13.2">
      <c r="A774" s="13"/>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spans="1:28" ht="13.2">
      <c r="A775" s="13"/>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spans="1:28" ht="13.2">
      <c r="A776" s="13"/>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spans="1:28" ht="13.2">
      <c r="A777" s="13"/>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spans="1:28" ht="13.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spans="1:28" ht="13.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spans="1:28" ht="13.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spans="1:28" ht="13.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spans="1:28" ht="13.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spans="1:28" ht="13.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spans="1:28" ht="13.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spans="2:28" ht="13.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spans="2:28" ht="13.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spans="2:28" ht="13.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spans="2:28" ht="13.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spans="2:28" ht="13.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spans="2:28" ht="13.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spans="2:28" ht="13.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spans="2:28" ht="13.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spans="2:28" ht="13.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spans="2:28" ht="13.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spans="2:28" ht="13.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spans="2:28" ht="13.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spans="2:28" ht="13.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spans="2:28" ht="13.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spans="2:28" ht="13.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spans="2:28" ht="13.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spans="2:28" ht="13.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spans="2:28" ht="13.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spans="2:28" ht="13.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spans="2:28" ht="13.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spans="2:28" ht="13.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spans="2:28" ht="13.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spans="2:28" ht="13.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spans="2:28" ht="13.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spans="2:28" ht="13.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spans="2:28" ht="13.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spans="2:28" ht="13.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spans="2:28" ht="13.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spans="2:28" ht="13.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spans="2:28" ht="13.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spans="2:28" ht="13.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spans="2:28" ht="13.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spans="2:28" ht="13.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spans="2:28" ht="13.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spans="2:28" ht="13.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spans="2:28" ht="13.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spans="2:28" ht="13.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spans="2:28" ht="13.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spans="2:28" ht="13.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spans="2:28" ht="13.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spans="2:28" ht="13.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spans="2:28" ht="13.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spans="2:28" ht="13.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spans="2:28" ht="13.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spans="2:28" ht="13.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spans="2:28" ht="13.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spans="2:28" ht="13.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spans="2:28" ht="13.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spans="2:28" ht="13.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spans="2:28" ht="13.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spans="2:28" ht="13.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spans="2:28" ht="13.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spans="2:28" ht="13.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spans="2:28" ht="13.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spans="2:28" ht="13.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spans="2:28" ht="13.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spans="2:28" ht="13.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spans="2:28" ht="13.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spans="2:28" ht="13.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spans="2:28" ht="13.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spans="2:28" ht="13.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spans="2:28" ht="13.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spans="2:28" ht="13.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spans="2:28" ht="13.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spans="2:28" ht="13.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spans="2:28" ht="13.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spans="2:28" ht="13.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spans="2:28" ht="13.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spans="2:28" ht="13.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spans="2:28" ht="13.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spans="2:28" ht="13.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spans="2:28" ht="13.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spans="2:28" ht="13.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spans="2:28" ht="13.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spans="2:28" ht="13.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spans="2:28" ht="13.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spans="2:28" ht="13.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spans="2:28" ht="13.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spans="2:28" ht="13.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spans="2:28" ht="13.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spans="2:28" ht="13.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spans="2:28" ht="13.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spans="2:28" ht="13.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spans="2:28" ht="13.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spans="2:28" ht="13.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spans="2:28" ht="13.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spans="2:28" ht="13.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spans="2:28" ht="13.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spans="2:28" ht="13.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spans="2:28" ht="13.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spans="2:28" ht="13.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spans="2:28" ht="13.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spans="2:28" ht="13.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spans="2:28" ht="13.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spans="2:28" ht="13.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spans="2:28" ht="13.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spans="2:28" ht="13.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spans="2:28" ht="13.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spans="2:28" ht="13.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spans="2:28" ht="13.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spans="2:28" ht="13.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spans="2:28" ht="13.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spans="2:28" ht="13.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spans="2:28" ht="13.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spans="2:28" ht="13.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spans="2:28" ht="13.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spans="2:28" ht="13.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spans="2:28" ht="13.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spans="2:28" ht="13.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spans="2:28" ht="13.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spans="2:28" ht="13.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spans="2:28" ht="13.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spans="2:28" ht="13.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spans="2:28" ht="13.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spans="2:28" ht="13.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spans="2:28" ht="13.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spans="2:28" ht="13.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spans="2:28" ht="13.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spans="2:28" ht="13.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spans="2:28" ht="13.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spans="2:28" ht="13.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spans="2:28" ht="13.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spans="2:28" ht="13.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spans="2:28" ht="13.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spans="2:28" ht="13.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spans="2:28" ht="13.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spans="2:28" ht="13.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spans="2:28" ht="13.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spans="2:28" ht="13.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spans="2:28" ht="13.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spans="2:28" ht="13.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spans="2:28" ht="13.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spans="2:28" ht="13.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spans="2:28" ht="13.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spans="2:28" ht="13.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spans="2:28" ht="13.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spans="2:28" ht="13.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spans="2:28" ht="13.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spans="2:28" ht="13.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spans="2:28" ht="13.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spans="2:28" ht="13.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spans="2:28" ht="13.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spans="2:28" ht="13.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spans="2:28" ht="13.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spans="2:28" ht="13.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spans="2:28" ht="13.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spans="2:28" ht="13.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spans="2:28" ht="13.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spans="2:28" ht="13.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spans="2:28" ht="13.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spans="2:28" ht="13.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spans="2:28" ht="13.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spans="2:28" ht="13.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spans="2:28" ht="13.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spans="2:28" ht="13.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spans="2:28" ht="13.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spans="2:28" ht="13.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spans="2:28" ht="13.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spans="2:28" ht="13.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spans="2:28" ht="13.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spans="2:28" ht="13.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spans="2:28" ht="13.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spans="2:28" ht="13.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spans="2:28" ht="13.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spans="2:28" ht="13.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spans="2:28" ht="13.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spans="2:28" ht="13.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spans="2:28" ht="13.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spans="2:28" ht="13.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spans="2:28" ht="13.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spans="2:28" ht="13.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spans="2:28" ht="13.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spans="2:28" ht="13.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spans="2:28" ht="13.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spans="2:28" ht="13.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spans="2:28" ht="13.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spans="2:28" ht="13.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spans="2:28" ht="13.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spans="2:28" ht="13.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spans="2:28" ht="13.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spans="2:28" ht="13.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spans="2:28" ht="13.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spans="2:28" ht="13.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spans="2:28" ht="13.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spans="2:28" ht="13.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spans="2:28" ht="13.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spans="2:28" ht="13.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spans="2:28" ht="13.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spans="2:28" ht="13.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spans="2:28" ht="13.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spans="2:28" ht="13.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spans="2:28" ht="13.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spans="2:28" ht="13.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spans="2:28" ht="13.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spans="2:28" ht="13.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spans="2:28" ht="13.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spans="2:28" ht="13.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spans="2:28" ht="13.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spans="2:28" ht="13.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spans="2:28" ht="13.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spans="2:28" ht="13.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spans="2:28" ht="13.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spans="2:28" ht="13.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spans="2:28" ht="13.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spans="2:28" ht="13.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spans="2:28" ht="13.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spans="2:28" ht="13.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spans="2:28" ht="13.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spans="2:28" ht="13.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spans="2:28" ht="13.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spans="2:28" ht="13.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spans="2:28" ht="13.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spans="2:28" ht="13.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spans="2:28" ht="13.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spans="2:28" ht="13.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spans="2:28" ht="13.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row r="1001" spans="2:28" ht="13.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row>
    <row r="1002" spans="2:28" ht="13.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row>
    <row r="1003" spans="2:28" ht="13.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row>
    <row r="1004" spans="2:28" ht="13.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row>
    <row r="1005" spans="2:28" ht="13.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row>
    <row r="1006" spans="2:28" ht="13.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row>
    <row r="1007" spans="2:28" ht="13.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row>
    <row r="1008" spans="2:28" ht="13.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row>
    <row r="1009" spans="2:28" ht="13.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row>
    <row r="1010" spans="2:28" ht="13.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row>
    <row r="1011" spans="2:28" ht="13.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c r="AB1011" s="12"/>
    </row>
    <row r="1012" spans="2:28" ht="13.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c r="AB1012" s="12"/>
    </row>
    <row r="1013" spans="2:28" ht="13.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row>
    <row r="1014" spans="2:28" ht="13.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c r="AB1014" s="12"/>
    </row>
    <row r="1015" spans="2:28" ht="13.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c r="AB1015" s="12"/>
    </row>
    <row r="1016" spans="2:28" ht="13.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row>
    <row r="1017" spans="2:28" ht="13.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c r="AB1017" s="12"/>
    </row>
    <row r="1018" spans="2:28" ht="13.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c r="AB1018" s="12"/>
    </row>
    <row r="1019" spans="2:28" ht="13.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row>
    <row r="1020" spans="2:28" ht="13.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c r="AB1020" s="12"/>
    </row>
    <row r="1021" spans="2:28" ht="13.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c r="AB1021" s="12"/>
    </row>
    <row r="1022" spans="2:28" ht="13.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row>
    <row r="1023" spans="2:28" ht="13.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c r="AB1023" s="12"/>
    </row>
    <row r="1024" spans="2:28" ht="13.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c r="AB1024" s="12"/>
    </row>
    <row r="1025" spans="2:28" ht="13.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row>
    <row r="1026" spans="2:28" ht="13.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c r="AB1026" s="12"/>
    </row>
    <row r="1027" spans="2:28" ht="13.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c r="AB1027" s="12"/>
    </row>
    <row r="1028" spans="2:28" ht="13.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c r="AB1028" s="12"/>
    </row>
    <row r="1029" spans="2:28" ht="13.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c r="AB1029" s="12"/>
    </row>
    <row r="1030" spans="2:28" ht="13.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c r="AB1030" s="12"/>
    </row>
    <row r="1031" spans="2:28" ht="13.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c r="AB1031" s="12"/>
    </row>
  </sheetData>
  <conditionalFormatting sqref="B1">
    <cfRule type="expression" dxfId="26" priority="287">
      <formula>COUNTIF($B$2:$B$721,$B1048302)&gt;1</formula>
    </cfRule>
  </conditionalFormatting>
  <conditionalFormatting sqref="F1:G1">
    <cfRule type="expression" dxfId="25" priority="2">
      <formula>COUNTIF(G:G,G1)&gt;1</formula>
    </cfRule>
  </conditionalFormatting>
  <conditionalFormatting sqref="G63:G1031">
    <cfRule type="expression" dxfId="24" priority="286">
      <formula>COUNTIF($G$2:$G$967,$G64)&gt;1</formula>
    </cfRule>
  </conditionalFormatting>
  <conditionalFormatting sqref="J1">
    <cfRule type="expression" dxfId="23" priority="1">
      <formula>COUNTIF(J:J,J1)&gt;1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51"/>
  <sheetViews>
    <sheetView workbookViewId="0">
      <pane ySplit="1" topLeftCell="A2" activePane="bottomLeft" state="frozen"/>
      <selection pane="bottomLeft" activeCell="F1" sqref="F1:F1048576"/>
    </sheetView>
  </sheetViews>
  <sheetFormatPr defaultColWidth="12.6640625" defaultRowHeight="15.75" customHeight="1"/>
  <cols>
    <col min="1" max="1" width="37" customWidth="1"/>
    <col min="2" max="2" width="76" customWidth="1"/>
    <col min="3" max="3" width="25.21875" customWidth="1"/>
    <col min="4" max="4" width="25.77734375" customWidth="1"/>
    <col min="5" max="5" width="8.33203125" customWidth="1"/>
    <col min="6" max="6" width="6.77734375" customWidth="1"/>
    <col min="7" max="7" width="26.33203125" customWidth="1"/>
    <col min="8" max="8" width="25.77734375" customWidth="1"/>
    <col min="9" max="9" width="12.33203125" customWidth="1"/>
    <col min="10" max="10" width="7.44140625" customWidth="1"/>
  </cols>
  <sheetData>
    <row r="1" spans="1:30" s="21" customFormat="1" ht="13.2">
      <c r="A1" s="67" t="s">
        <v>39</v>
      </c>
      <c r="B1" s="68" t="s">
        <v>1</v>
      </c>
      <c r="C1" s="68" t="s">
        <v>4</v>
      </c>
      <c r="D1" s="68" t="s">
        <v>5</v>
      </c>
      <c r="E1" s="68" t="s">
        <v>2</v>
      </c>
      <c r="F1" s="69" t="s">
        <v>40</v>
      </c>
      <c r="G1" s="68" t="s">
        <v>3</v>
      </c>
      <c r="H1" s="68" t="s">
        <v>6</v>
      </c>
      <c r="I1" s="68" t="s">
        <v>7</v>
      </c>
      <c r="J1" s="70"/>
      <c r="K1" s="70"/>
      <c r="L1" s="70"/>
      <c r="M1" s="70"/>
      <c r="N1" s="70"/>
      <c r="O1" s="70"/>
      <c r="P1" s="70"/>
      <c r="Q1" s="70"/>
      <c r="R1" s="70"/>
      <c r="S1" s="70"/>
      <c r="T1" s="70"/>
      <c r="U1" s="70"/>
      <c r="V1" s="70"/>
      <c r="W1" s="70"/>
      <c r="X1" s="70"/>
      <c r="Y1" s="70"/>
      <c r="Z1" s="70"/>
      <c r="AA1" s="70"/>
      <c r="AB1" s="70"/>
      <c r="AC1" s="70"/>
    </row>
    <row r="2" spans="1:30" ht="15.75" customHeight="1">
      <c r="A2" s="58" t="s">
        <v>299</v>
      </c>
      <c r="B2" s="55" t="s">
        <v>512</v>
      </c>
      <c r="C2" s="78" t="s">
        <v>511</v>
      </c>
      <c r="D2" s="55" t="s">
        <v>539</v>
      </c>
      <c r="E2" s="55" t="str">
        <f>IF(D2&lt;&gt;"","SD"&amp;COUNTIF($D$2:D2,"&lt;&gt;"),"")</f>
        <v>SD1</v>
      </c>
      <c r="F2" s="17"/>
      <c r="G2" s="60" t="str">
        <f>HYPERLINK("https://doi.org/" &amp; P2, "https://doi.org/" &amp; P2)</f>
        <v>https://doi.org/10.1016/j.sasc.2025.200282</v>
      </c>
      <c r="H2" s="17" t="s">
        <v>514</v>
      </c>
      <c r="I2" s="17">
        <v>2025</v>
      </c>
      <c r="J2" s="17"/>
      <c r="K2" s="17"/>
      <c r="L2" s="17"/>
      <c r="M2" s="17"/>
      <c r="N2" s="17"/>
      <c r="O2" s="17"/>
      <c r="P2" s="17" t="s">
        <v>513</v>
      </c>
      <c r="Q2" s="17"/>
      <c r="R2" s="17"/>
      <c r="S2" s="17"/>
      <c r="T2" s="17"/>
      <c r="U2" s="17"/>
      <c r="V2" s="17"/>
      <c r="W2" s="17"/>
      <c r="X2" s="17"/>
      <c r="Y2" s="17"/>
      <c r="Z2" s="17"/>
      <c r="AA2" s="17"/>
      <c r="AB2" s="17"/>
      <c r="AC2" s="17"/>
      <c r="AD2" s="17"/>
    </row>
    <row r="3" spans="1:30" ht="15.75" customHeight="1">
      <c r="A3" s="58"/>
      <c r="B3" s="55" t="s">
        <v>516</v>
      </c>
      <c r="C3" s="55" t="s">
        <v>515</v>
      </c>
      <c r="D3" s="55" t="s">
        <v>540</v>
      </c>
      <c r="E3" s="55" t="str">
        <f>IF(D3&lt;&gt;"","SD"&amp;COUNTIF($D$2:D3,"&lt;&gt;"),"")</f>
        <v>SD2</v>
      </c>
      <c r="F3" s="17"/>
      <c r="G3" s="60" t="str">
        <f t="shared" ref="G3:G9" si="0">HYPERLINK("https://doi.org/" &amp; P3, "https://doi.org/" &amp; P3)</f>
        <v>https://doi.org/10.1016/j.comcom.2023.09.009</v>
      </c>
      <c r="H3" s="17" t="s">
        <v>518</v>
      </c>
      <c r="I3" s="17">
        <v>2023</v>
      </c>
      <c r="J3" s="17"/>
      <c r="K3" s="17"/>
      <c r="L3" s="17"/>
      <c r="M3" s="17"/>
      <c r="N3" s="17"/>
      <c r="O3" s="17"/>
      <c r="P3" s="17" t="s">
        <v>517</v>
      </c>
      <c r="Q3" s="17"/>
      <c r="R3" s="17"/>
      <c r="S3" s="17"/>
      <c r="T3" s="17"/>
      <c r="U3" s="17"/>
      <c r="V3" s="17"/>
      <c r="W3" s="17"/>
      <c r="X3" s="17"/>
      <c r="Y3" s="17"/>
      <c r="Z3" s="17"/>
      <c r="AA3" s="17"/>
      <c r="AB3" s="17"/>
      <c r="AC3" s="17"/>
      <c r="AD3" s="17"/>
    </row>
    <row r="4" spans="1:30" ht="15.75" customHeight="1">
      <c r="A4" s="58"/>
      <c r="B4" s="17" t="s">
        <v>520</v>
      </c>
      <c r="C4" s="17" t="s">
        <v>519</v>
      </c>
      <c r="D4" s="17" t="s">
        <v>541</v>
      </c>
      <c r="E4" s="55" t="str">
        <f>IF(D4&lt;&gt;"","SD"&amp;COUNTIF($D$2:D4,"&lt;&gt;"),"")</f>
        <v>SD3</v>
      </c>
      <c r="F4" s="17"/>
      <c r="G4" s="60" t="str">
        <f t="shared" si="0"/>
        <v>https://doi.org/10.1016/j.asoc.2025.113999</v>
      </c>
      <c r="H4" s="17" t="s">
        <v>522</v>
      </c>
      <c r="I4" s="17">
        <v>2025</v>
      </c>
      <c r="J4" s="17"/>
      <c r="K4" s="17"/>
      <c r="L4" s="17"/>
      <c r="M4" s="17"/>
      <c r="N4" s="17"/>
      <c r="O4" s="17"/>
      <c r="P4" s="17" t="s">
        <v>521</v>
      </c>
      <c r="Q4" s="17"/>
      <c r="R4" s="17"/>
      <c r="S4" s="17"/>
      <c r="T4" s="17"/>
      <c r="U4" s="17"/>
      <c r="V4" s="17"/>
      <c r="W4" s="17"/>
      <c r="X4" s="17"/>
      <c r="Y4" s="17"/>
      <c r="Z4" s="17"/>
      <c r="AA4" s="17"/>
      <c r="AB4" s="17"/>
      <c r="AC4" s="17"/>
      <c r="AD4" s="17"/>
    </row>
    <row r="5" spans="1:30" ht="15.75" customHeight="1">
      <c r="A5" s="58"/>
      <c r="B5" s="55" t="s">
        <v>524</v>
      </c>
      <c r="C5" s="55" t="s">
        <v>523</v>
      </c>
      <c r="D5" s="55" t="s">
        <v>542</v>
      </c>
      <c r="E5" s="55" t="str">
        <f>IF(D5&lt;&gt;"","SD"&amp;COUNTIF($D$2:D5,"&lt;&gt;"),"")</f>
        <v>SD4</v>
      </c>
      <c r="F5" s="17"/>
      <c r="G5" s="60" t="str">
        <f t="shared" si="0"/>
        <v>https://doi.org/10.1016/j.aap.2025.107986</v>
      </c>
      <c r="H5" s="17" t="s">
        <v>526</v>
      </c>
      <c r="I5" s="17">
        <v>2025</v>
      </c>
      <c r="J5" s="17"/>
      <c r="K5" s="17"/>
      <c r="L5" s="17"/>
      <c r="M5" s="17"/>
      <c r="N5" s="17"/>
      <c r="O5" s="17"/>
      <c r="P5" s="17" t="s">
        <v>525</v>
      </c>
      <c r="Q5" s="17"/>
      <c r="R5" s="17"/>
      <c r="S5" s="17"/>
      <c r="T5" s="17"/>
      <c r="U5" s="17"/>
      <c r="V5" s="17"/>
      <c r="W5" s="17"/>
      <c r="X5" s="17"/>
      <c r="Y5" s="17"/>
      <c r="Z5" s="17"/>
      <c r="AA5" s="17"/>
      <c r="AB5" s="17"/>
      <c r="AC5" s="17"/>
      <c r="AD5" s="17"/>
    </row>
    <row r="6" spans="1:30" ht="15.75" customHeight="1">
      <c r="A6" s="58"/>
      <c r="B6" s="55" t="s">
        <v>528</v>
      </c>
      <c r="C6" s="55" t="s">
        <v>527</v>
      </c>
      <c r="D6" s="55" t="s">
        <v>543</v>
      </c>
      <c r="E6" s="55" t="str">
        <f>IF(D6&lt;&gt;"","SD"&amp;COUNTIF($D$2:D6,"&lt;&gt;"),"")</f>
        <v>SD5</v>
      </c>
      <c r="F6" s="17"/>
      <c r="G6" s="60" t="str">
        <f t="shared" si="0"/>
        <v>https://doi.org/10.1016/j.pmcj.2024.101914</v>
      </c>
      <c r="H6" s="17" t="s">
        <v>530</v>
      </c>
      <c r="I6" s="17">
        <v>2024</v>
      </c>
      <c r="J6" s="17"/>
      <c r="K6" s="17"/>
      <c r="L6" s="17"/>
      <c r="M6" s="17"/>
      <c r="N6" s="17"/>
      <c r="O6" s="17"/>
      <c r="P6" s="17" t="s">
        <v>529</v>
      </c>
      <c r="Q6" s="17"/>
      <c r="R6" s="17"/>
      <c r="S6" s="17"/>
      <c r="T6" s="17"/>
      <c r="U6" s="17"/>
      <c r="V6" s="17"/>
      <c r="W6" s="17"/>
      <c r="X6" s="17"/>
      <c r="Y6" s="17"/>
      <c r="Z6" s="17"/>
      <c r="AA6" s="17"/>
      <c r="AB6" s="17"/>
      <c r="AC6" s="17"/>
      <c r="AD6" s="17"/>
    </row>
    <row r="7" spans="1:30" ht="15.75" customHeight="1">
      <c r="A7" s="58"/>
      <c r="B7" s="55" t="s">
        <v>532</v>
      </c>
      <c r="C7" s="79" t="s">
        <v>531</v>
      </c>
      <c r="D7" s="55" t="s">
        <v>544</v>
      </c>
      <c r="E7" s="55" t="str">
        <f>IF(D7&lt;&gt;"","SD"&amp;COUNTIF($D$2:D7,"&lt;&gt;"),"")</f>
        <v>SD6</v>
      </c>
      <c r="F7" s="17"/>
      <c r="G7" s="60" t="str">
        <f t="shared" si="0"/>
        <v>https://doi.org/10.1016/j.trip.2025.101366</v>
      </c>
      <c r="H7" s="17" t="s">
        <v>534</v>
      </c>
      <c r="I7" s="17">
        <v>2025</v>
      </c>
      <c r="J7" s="17"/>
      <c r="K7" s="17"/>
      <c r="L7" s="17"/>
      <c r="M7" s="17"/>
      <c r="N7" s="17"/>
      <c r="O7" s="17"/>
      <c r="P7" s="17" t="s">
        <v>533</v>
      </c>
      <c r="Q7" s="17"/>
      <c r="R7" s="17"/>
      <c r="S7" s="17"/>
      <c r="T7" s="17"/>
      <c r="U7" s="17"/>
      <c r="V7" s="17"/>
      <c r="W7" s="17"/>
      <c r="X7" s="17"/>
      <c r="Y7" s="17"/>
      <c r="Z7" s="17"/>
      <c r="AA7" s="17"/>
      <c r="AB7" s="17"/>
      <c r="AC7" s="17"/>
      <c r="AD7" s="17"/>
    </row>
    <row r="8" spans="1:30" ht="15.75" customHeight="1">
      <c r="A8" s="58"/>
      <c r="B8" s="55" t="s">
        <v>536</v>
      </c>
      <c r="C8" s="78" t="s">
        <v>535</v>
      </c>
      <c r="D8" t="s">
        <v>545</v>
      </c>
      <c r="E8" s="55" t="str">
        <f>IF(D8&lt;&gt;"","SD"&amp;COUNTIF($D$2:D8,"&lt;&gt;"),"")</f>
        <v>SD7</v>
      </c>
      <c r="F8" s="17"/>
      <c r="G8" s="60" t="str">
        <f>HYPERLINK(P8, "https://doi.org/" &amp; P8)</f>
        <v>https://doi.org/10.1016/j.resenv.2025.100219</v>
      </c>
      <c r="H8" s="17" t="s">
        <v>538</v>
      </c>
      <c r="I8" s="17">
        <v>2025</v>
      </c>
      <c r="J8" s="17"/>
      <c r="K8" s="17"/>
      <c r="L8" s="17"/>
      <c r="M8" s="17"/>
      <c r="N8" s="17"/>
      <c r="O8" s="17"/>
      <c r="P8" s="17" t="s">
        <v>537</v>
      </c>
      <c r="Q8" s="17"/>
      <c r="R8" s="17"/>
      <c r="S8" s="17"/>
      <c r="T8" s="17"/>
      <c r="U8" s="17"/>
      <c r="V8" s="17"/>
      <c r="W8" s="17"/>
      <c r="X8" s="17"/>
      <c r="Y8" s="17"/>
      <c r="Z8" s="17"/>
      <c r="AA8" s="17"/>
      <c r="AB8" s="17"/>
      <c r="AC8" s="17"/>
      <c r="AD8" s="17"/>
    </row>
    <row r="9" spans="1:30" ht="15.75" customHeight="1">
      <c r="A9" s="53"/>
      <c r="B9" s="55"/>
      <c r="C9" s="55"/>
      <c r="D9" s="55"/>
      <c r="E9" s="55" t="str">
        <f>IF(D9&lt;&gt;"","SD"&amp;COUNTIF($D$2:D9,"&lt;&gt;"),"")</f>
        <v/>
      </c>
      <c r="F9" s="17"/>
      <c r="G9" s="60" t="str">
        <f t="shared" si="0"/>
        <v>https://doi.org/</v>
      </c>
      <c r="H9" s="55"/>
      <c r="I9" s="17"/>
      <c r="J9" s="17"/>
      <c r="K9" s="17"/>
      <c r="L9" s="17"/>
      <c r="M9" s="17"/>
      <c r="N9" s="17"/>
      <c r="O9" s="17"/>
      <c r="P9" s="17"/>
      <c r="Q9" s="17"/>
      <c r="R9" s="17"/>
      <c r="S9" s="17"/>
      <c r="T9" s="17"/>
      <c r="U9" s="17"/>
      <c r="V9" s="17"/>
      <c r="W9" s="17"/>
      <c r="X9" s="17"/>
      <c r="Y9" s="17"/>
      <c r="Z9" s="17"/>
      <c r="AA9" s="17"/>
      <c r="AB9" s="17"/>
      <c r="AC9" s="17"/>
      <c r="AD9" s="17"/>
    </row>
    <row r="10" spans="1:30" ht="15.75" customHeight="1">
      <c r="A10" s="53" t="s">
        <v>43</v>
      </c>
      <c r="B10" t="s">
        <v>546</v>
      </c>
      <c r="C10" s="17" t="s">
        <v>547</v>
      </c>
      <c r="D10" s="17" t="s">
        <v>549</v>
      </c>
      <c r="E10" s="55" t="str">
        <f>IF(D10&lt;&gt;"","SD"&amp;COUNTIF($D$2:D10,"&lt;&gt;"),"")</f>
        <v>SD8</v>
      </c>
      <c r="F10" s="17"/>
      <c r="G10" s="60" t="str">
        <f t="shared" ref="G10:G12" si="1">HYPERLINK(P10)</f>
        <v>https://doi.org/10.1016/j.cviu.2023.103749</v>
      </c>
      <c r="H10" s="17" t="s">
        <v>550</v>
      </c>
      <c r="I10" s="17">
        <v>2023</v>
      </c>
      <c r="J10" s="17"/>
      <c r="K10" s="17"/>
      <c r="L10" s="17"/>
      <c r="M10" s="17"/>
      <c r="N10" s="17"/>
      <c r="O10" s="17"/>
      <c r="P10" s="17" t="s">
        <v>548</v>
      </c>
      <c r="Q10" s="17"/>
      <c r="R10" s="17"/>
      <c r="S10" s="17"/>
      <c r="T10" s="17"/>
      <c r="U10" s="17"/>
      <c r="V10" s="17"/>
      <c r="W10" s="17"/>
      <c r="X10" s="17"/>
      <c r="Y10" s="17"/>
      <c r="Z10" s="17"/>
      <c r="AA10" s="17"/>
      <c r="AB10" s="17"/>
      <c r="AC10" s="17"/>
      <c r="AD10" s="17"/>
    </row>
    <row r="11" spans="1:30" ht="15.75" customHeight="1">
      <c r="A11" s="53"/>
      <c r="B11" t="s">
        <v>551</v>
      </c>
      <c r="C11" s="17" t="s">
        <v>552</v>
      </c>
      <c r="D11" s="17" t="s">
        <v>554</v>
      </c>
      <c r="E11" s="55" t="str">
        <f>IF(D11&lt;&gt;"","SD"&amp;COUNTIF($D$2:D11,"&lt;&gt;"),"")</f>
        <v>SD9</v>
      </c>
      <c r="F11" s="17"/>
      <c r="G11" s="60" t="str">
        <f t="shared" si="1"/>
        <v>https://doi.org/10.1016/j.procs.2024.09.392</v>
      </c>
      <c r="H11" s="17" t="s">
        <v>555</v>
      </c>
      <c r="I11" s="17">
        <v>2024</v>
      </c>
      <c r="J11" s="17"/>
      <c r="K11" s="17"/>
      <c r="L11" s="17"/>
      <c r="M11" s="17"/>
      <c r="N11" s="17"/>
      <c r="O11" s="17"/>
      <c r="P11" s="17" t="s">
        <v>553</v>
      </c>
      <c r="Q11" s="17"/>
      <c r="R11" s="17"/>
      <c r="S11" s="17"/>
      <c r="T11" s="17"/>
      <c r="U11" s="17"/>
      <c r="V11" s="17"/>
      <c r="W11" s="17"/>
      <c r="X11" s="17"/>
      <c r="Y11" s="17"/>
      <c r="Z11" s="17"/>
      <c r="AA11" s="17"/>
      <c r="AB11" s="17"/>
      <c r="AC11" s="17"/>
      <c r="AD11" s="17"/>
    </row>
    <row r="12" spans="1:30" ht="15.75" customHeight="1">
      <c r="A12" s="53"/>
      <c r="B12" t="s">
        <v>556</v>
      </c>
      <c r="C12" s="17" t="s">
        <v>557</v>
      </c>
      <c r="D12" s="17" t="s">
        <v>559</v>
      </c>
      <c r="E12" s="55" t="str">
        <f>IF(D12&lt;&gt;"","SD"&amp;COUNTIF($D$2:D12,"&lt;&gt;"),"")</f>
        <v>SD10</v>
      </c>
      <c r="F12" s="17"/>
      <c r="G12" s="60" t="str">
        <f t="shared" si="1"/>
        <v>https://doi.org/10.1016/j.sysarc.2025.103586</v>
      </c>
      <c r="H12" s="17" t="s">
        <v>560</v>
      </c>
      <c r="I12" s="17">
        <v>2025</v>
      </c>
      <c r="J12" s="17"/>
      <c r="K12" s="17"/>
      <c r="L12" s="17"/>
      <c r="M12" s="17"/>
      <c r="N12" s="17"/>
      <c r="O12" s="17"/>
      <c r="P12" s="17" t="s">
        <v>558</v>
      </c>
      <c r="Q12" s="17"/>
      <c r="R12" s="17"/>
      <c r="S12" s="17"/>
      <c r="T12" s="17"/>
      <c r="U12" s="17"/>
      <c r="V12" s="17"/>
      <c r="W12" s="17"/>
      <c r="X12" s="17"/>
      <c r="Y12" s="17"/>
      <c r="Z12" s="17"/>
      <c r="AA12" s="17"/>
      <c r="AB12" s="17"/>
      <c r="AC12" s="17"/>
      <c r="AD12" s="17"/>
    </row>
    <row r="13" spans="1:30" ht="15.75" customHeight="1">
      <c r="A13" s="53"/>
      <c r="B13" t="s">
        <v>561</v>
      </c>
      <c r="C13" s="17" t="s">
        <v>562</v>
      </c>
      <c r="D13" s="17" t="s">
        <v>564</v>
      </c>
      <c r="E13" s="55" t="str">
        <f>IF(D13&lt;&gt;"","SD"&amp;COUNTIF($D$2:D13,"&lt;&gt;"),"")</f>
        <v>SD11</v>
      </c>
      <c r="F13" s="17"/>
      <c r="G13" s="60" t="str">
        <f>HYPERLINK(P13)</f>
        <v>https://doi.org/10.1016/j.image.2020.115996</v>
      </c>
      <c r="H13" s="17" t="s">
        <v>565</v>
      </c>
      <c r="I13" s="17">
        <v>2020</v>
      </c>
      <c r="J13" s="17"/>
      <c r="K13" s="17"/>
      <c r="L13" s="17"/>
      <c r="M13" s="17"/>
      <c r="N13" s="17"/>
      <c r="O13" s="17"/>
      <c r="P13" s="17" t="s">
        <v>563</v>
      </c>
      <c r="Q13" s="17"/>
      <c r="R13" s="17"/>
      <c r="S13" s="17"/>
      <c r="T13" s="17"/>
      <c r="U13" s="17"/>
      <c r="V13" s="17"/>
      <c r="W13" s="17"/>
      <c r="X13" s="17"/>
      <c r="Y13" s="17"/>
      <c r="Z13" s="17"/>
      <c r="AA13" s="17"/>
      <c r="AB13" s="17"/>
      <c r="AC13" s="17"/>
      <c r="AD13" s="17"/>
    </row>
    <row r="14" spans="1:30" ht="15.75" customHeight="1">
      <c r="A14" s="53"/>
      <c r="B14" t="s">
        <v>532</v>
      </c>
      <c r="C14" s="17" t="s">
        <v>566</v>
      </c>
      <c r="D14" s="17" t="s">
        <v>568</v>
      </c>
      <c r="E14" s="55" t="str">
        <f>IF(D14&lt;&gt;"","SD"&amp;COUNTIF($D$2:D14,"&lt;&gt;"),"")</f>
        <v>SD12</v>
      </c>
      <c r="F14" s="17"/>
      <c r="G14" s="60" t="str">
        <f t="shared" ref="G14:G40" si="2">HYPERLINK(P14)</f>
        <v>https://doi.org/10.1016/j.trip.2025.101366</v>
      </c>
      <c r="H14" s="17" t="s">
        <v>569</v>
      </c>
      <c r="I14" s="17">
        <v>2025</v>
      </c>
      <c r="J14" s="17"/>
      <c r="K14" s="17"/>
      <c r="L14" s="17"/>
      <c r="M14" s="17"/>
      <c r="N14" s="17"/>
      <c r="O14" s="17"/>
      <c r="P14" s="17" t="s">
        <v>567</v>
      </c>
      <c r="Q14" s="17"/>
      <c r="R14" s="17"/>
      <c r="S14" s="17"/>
      <c r="T14" s="17"/>
      <c r="U14" s="17"/>
      <c r="V14" s="17"/>
      <c r="W14" s="17"/>
      <c r="X14" s="17"/>
      <c r="Y14" s="17"/>
      <c r="Z14" s="17"/>
      <c r="AA14" s="17"/>
      <c r="AB14" s="17"/>
      <c r="AC14" s="17"/>
      <c r="AD14" s="17"/>
    </row>
    <row r="15" spans="1:30" ht="15.75" customHeight="1">
      <c r="A15" s="58"/>
      <c r="B15" t="s">
        <v>570</v>
      </c>
      <c r="C15" s="17" t="s">
        <v>571</v>
      </c>
      <c r="D15" s="17" t="s">
        <v>573</v>
      </c>
      <c r="E15" s="55" t="str">
        <f>IF(D15&lt;&gt;"","SD"&amp;COUNTIF($D$2:D15,"&lt;&gt;"),"")</f>
        <v>SD13</v>
      </c>
      <c r="F15" s="17"/>
      <c r="G15" s="60" t="str">
        <f t="shared" si="2"/>
        <v>https://doi.org/10.1016/j.neucom.2023.126923</v>
      </c>
      <c r="H15" s="17" t="s">
        <v>574</v>
      </c>
      <c r="I15" s="17">
        <v>2024</v>
      </c>
      <c r="J15" s="17"/>
      <c r="K15" s="17"/>
      <c r="L15" s="17"/>
      <c r="M15" s="17"/>
      <c r="N15" s="17"/>
      <c r="O15" s="17"/>
      <c r="P15" s="17" t="s">
        <v>572</v>
      </c>
      <c r="Q15" s="17"/>
      <c r="R15" s="17"/>
      <c r="S15" s="17"/>
      <c r="T15" s="17"/>
      <c r="U15" s="17"/>
      <c r="V15" s="17"/>
      <c r="W15" s="17"/>
      <c r="X15" s="17"/>
      <c r="Y15" s="17"/>
      <c r="Z15" s="17"/>
      <c r="AA15" s="17"/>
      <c r="AB15" s="17"/>
      <c r="AC15" s="17"/>
      <c r="AD15" s="17"/>
    </row>
    <row r="16" spans="1:30" ht="15.75" customHeight="1">
      <c r="B16" s="55"/>
      <c r="C16" s="78"/>
      <c r="D16" s="55"/>
      <c r="E16" s="55" t="str">
        <f>IF(D16&lt;&gt;"","SD"&amp;COUNTIF($D$2:D16,"&lt;&gt;"),"")</f>
        <v/>
      </c>
      <c r="F16" s="17"/>
      <c r="G16" s="60" t="str">
        <f t="shared" si="2"/>
        <v/>
      </c>
      <c r="H16" s="80"/>
      <c r="I16" s="17"/>
      <c r="J16" s="17"/>
      <c r="K16" s="17"/>
      <c r="L16" s="17"/>
      <c r="M16" s="17"/>
      <c r="N16" s="17"/>
      <c r="O16" s="17"/>
      <c r="P16" s="17"/>
      <c r="Q16" s="17"/>
      <c r="R16" s="17"/>
      <c r="S16" s="17"/>
      <c r="T16" s="17"/>
      <c r="U16" s="17"/>
      <c r="V16" s="17"/>
      <c r="W16" s="17"/>
      <c r="X16" s="17"/>
      <c r="Y16" s="17"/>
      <c r="Z16" s="17"/>
      <c r="AA16" s="17"/>
      <c r="AB16" s="17"/>
      <c r="AC16" s="17"/>
      <c r="AD16" s="17"/>
    </row>
    <row r="17" spans="1:30" ht="15.75" customHeight="1">
      <c r="A17" s="58" t="s">
        <v>135</v>
      </c>
      <c r="B17" s="17" t="s">
        <v>575</v>
      </c>
      <c r="C17" s="17" t="s">
        <v>576</v>
      </c>
      <c r="D17" s="17" t="s">
        <v>603</v>
      </c>
      <c r="E17" s="55" t="str">
        <f>IF(D17&lt;&gt;"","SD"&amp;COUNTIF($D$2:D17,"&lt;&gt;"),"")</f>
        <v>SD14</v>
      </c>
      <c r="F17" s="17"/>
      <c r="G17" s="60" t="str">
        <f t="shared" si="2"/>
        <v>https://doi.org/10.1016/j.rineng.2025.105930</v>
      </c>
      <c r="H17" s="17" t="s">
        <v>578</v>
      </c>
      <c r="I17" s="17">
        <v>2025</v>
      </c>
      <c r="J17" s="17"/>
      <c r="K17" s="17"/>
      <c r="L17" s="17"/>
      <c r="M17" s="17"/>
      <c r="N17" s="17"/>
      <c r="O17" s="17"/>
      <c r="P17" s="17" t="s">
        <v>577</v>
      </c>
      <c r="Q17" s="17"/>
      <c r="R17" s="17"/>
      <c r="S17" s="17"/>
      <c r="T17" s="17"/>
      <c r="U17" s="17"/>
      <c r="V17" s="17"/>
      <c r="W17" s="17"/>
      <c r="X17" s="17"/>
      <c r="Y17" s="17"/>
      <c r="Z17" s="17"/>
      <c r="AA17" s="17"/>
      <c r="AB17" s="17"/>
      <c r="AC17" s="17"/>
      <c r="AD17" s="17"/>
    </row>
    <row r="18" spans="1:30" ht="15.75" customHeight="1">
      <c r="A18" s="58"/>
      <c r="B18" s="17" t="s">
        <v>556</v>
      </c>
      <c r="C18" s="17" t="s">
        <v>557</v>
      </c>
      <c r="D18" s="17" t="s">
        <v>604</v>
      </c>
      <c r="E18" s="55" t="str">
        <f>IF(D18&lt;&gt;"","SD"&amp;COUNTIF($D$2:D18,"&lt;&gt;"),"")</f>
        <v>SD15</v>
      </c>
      <c r="F18" s="17"/>
      <c r="G18" s="60" t="str">
        <f t="shared" si="2"/>
        <v>https://doi.org/10.1016/j.sysarc.2025.103586</v>
      </c>
      <c r="H18" s="17" t="s">
        <v>560</v>
      </c>
      <c r="I18" s="17">
        <v>2025</v>
      </c>
      <c r="J18" s="17"/>
      <c r="K18" s="17"/>
      <c r="L18" s="17"/>
      <c r="M18" s="17"/>
      <c r="N18" s="17"/>
      <c r="O18" s="17"/>
      <c r="P18" s="17" t="s">
        <v>558</v>
      </c>
      <c r="Q18" s="17"/>
      <c r="R18" s="17"/>
      <c r="S18" s="17"/>
      <c r="T18" s="17"/>
      <c r="U18" s="17"/>
      <c r="V18" s="17"/>
      <c r="W18" s="17"/>
      <c r="X18" s="17"/>
      <c r="Y18" s="17"/>
      <c r="Z18" s="17"/>
      <c r="AA18" s="17"/>
      <c r="AB18" s="17"/>
      <c r="AC18" s="17"/>
      <c r="AD18" s="17"/>
    </row>
    <row r="19" spans="1:30" ht="15.75" customHeight="1">
      <c r="A19" s="58"/>
      <c r="B19" s="17" t="s">
        <v>579</v>
      </c>
      <c r="C19" s="17" t="s">
        <v>580</v>
      </c>
      <c r="D19" s="17" t="s">
        <v>605</v>
      </c>
      <c r="E19" s="55" t="str">
        <f>IF(D19&lt;&gt;"","SD"&amp;COUNTIF($D$2:D19,"&lt;&gt;"),"")</f>
        <v>SD16</v>
      </c>
      <c r="F19" s="17"/>
      <c r="G19" s="60" t="str">
        <f t="shared" si="2"/>
        <v>https://doi.org/10.1016/j.eswa.2025.127447</v>
      </c>
      <c r="H19" s="17" t="s">
        <v>582</v>
      </c>
      <c r="I19" s="17">
        <v>2025</v>
      </c>
      <c r="J19" s="17"/>
      <c r="K19" s="17"/>
      <c r="L19" s="17"/>
      <c r="M19" s="17"/>
      <c r="N19" s="17"/>
      <c r="O19" s="17"/>
      <c r="P19" s="17" t="s">
        <v>581</v>
      </c>
      <c r="Q19" s="17"/>
      <c r="R19" s="17"/>
      <c r="S19" s="17"/>
      <c r="T19" s="17"/>
      <c r="U19" s="17"/>
      <c r="V19" s="17"/>
      <c r="W19" s="17"/>
      <c r="X19" s="17"/>
      <c r="Y19" s="17"/>
      <c r="Z19" s="17"/>
      <c r="AA19" s="17"/>
      <c r="AB19" s="17"/>
      <c r="AC19" s="17"/>
      <c r="AD19" s="17"/>
    </row>
    <row r="20" spans="1:30" ht="15.75" customHeight="1">
      <c r="A20" s="57"/>
      <c r="B20" s="17" t="s">
        <v>583</v>
      </c>
      <c r="C20" s="17" t="s">
        <v>584</v>
      </c>
      <c r="D20" s="17" t="s">
        <v>606</v>
      </c>
      <c r="E20" s="55" t="str">
        <f>IF(D20&lt;&gt;"","SD"&amp;COUNTIF($D$2:D20,"&lt;&gt;"),"")</f>
        <v>SD17</v>
      </c>
      <c r="F20" s="17"/>
      <c r="G20" s="60" t="str">
        <f t="shared" si="2"/>
        <v>https://doi.org/10.1016/j.future.2021.06.035</v>
      </c>
      <c r="H20" s="17" t="s">
        <v>586</v>
      </c>
      <c r="I20" s="17">
        <v>2021</v>
      </c>
      <c r="J20" s="17"/>
      <c r="K20" s="17"/>
      <c r="L20" s="17"/>
      <c r="M20" s="17"/>
      <c r="N20" s="17"/>
      <c r="O20" s="17"/>
      <c r="P20" s="17" t="s">
        <v>585</v>
      </c>
      <c r="Q20" s="17"/>
      <c r="R20" s="17"/>
      <c r="S20" s="17"/>
      <c r="T20" s="17"/>
      <c r="U20" s="17"/>
      <c r="V20" s="17"/>
      <c r="W20" s="17"/>
      <c r="X20" s="17"/>
      <c r="Y20" s="17"/>
      <c r="Z20" s="17"/>
      <c r="AA20" s="17"/>
      <c r="AB20" s="17"/>
      <c r="AC20" s="17"/>
      <c r="AD20" s="17"/>
    </row>
    <row r="21" spans="1:30" ht="15.75" customHeight="1">
      <c r="B21" s="17" t="s">
        <v>587</v>
      </c>
      <c r="C21" s="17" t="s">
        <v>588</v>
      </c>
      <c r="D21" s="17" t="s">
        <v>607</v>
      </c>
      <c r="E21" s="55" t="str">
        <f>IF(D21&lt;&gt;"","SD"&amp;COUNTIF($D$2:D21,"&lt;&gt;"),"")</f>
        <v>SD18</v>
      </c>
      <c r="F21" s="17"/>
      <c r="G21" s="60" t="str">
        <f t="shared" si="2"/>
        <v>https://doi.org/10.1016/j.cstp.2025.101571</v>
      </c>
      <c r="H21" s="17" t="s">
        <v>590</v>
      </c>
      <c r="I21" s="17">
        <v>2025</v>
      </c>
      <c r="J21" s="17"/>
      <c r="K21" s="17"/>
      <c r="L21" s="17"/>
      <c r="M21" s="17"/>
      <c r="N21" s="17"/>
      <c r="O21" s="17"/>
      <c r="P21" s="17" t="s">
        <v>589</v>
      </c>
      <c r="Q21" s="17"/>
      <c r="R21" s="17"/>
      <c r="S21" s="17"/>
      <c r="T21" s="17"/>
      <c r="U21" s="17"/>
      <c r="V21" s="17"/>
      <c r="W21" s="17"/>
      <c r="X21" s="17"/>
      <c r="Y21" s="17"/>
      <c r="Z21" s="17"/>
      <c r="AA21" s="17"/>
      <c r="AB21" s="17"/>
      <c r="AC21" s="17"/>
      <c r="AD21" s="17"/>
    </row>
    <row r="22" spans="1:30" ht="15.75" customHeight="1">
      <c r="A22" s="13"/>
      <c r="B22" s="17" t="s">
        <v>591</v>
      </c>
      <c r="C22" s="17" t="s">
        <v>592</v>
      </c>
      <c r="D22" s="17" t="s">
        <v>608</v>
      </c>
      <c r="E22" s="55" t="str">
        <f>IF(D22&lt;&gt;"","SD"&amp;COUNTIF($D$2:D22,"&lt;&gt;"),"")</f>
        <v>SD19</v>
      </c>
      <c r="F22" s="17"/>
      <c r="G22" s="60" t="str">
        <f t="shared" si="2"/>
        <v>https://doi.org/10.1016/j.aej.2025.08.044</v>
      </c>
      <c r="H22" s="17" t="s">
        <v>594</v>
      </c>
      <c r="I22" s="17">
        <v>2025</v>
      </c>
      <c r="J22" s="17"/>
      <c r="K22" s="17"/>
      <c r="L22" s="17"/>
      <c r="M22" s="17"/>
      <c r="N22" s="17"/>
      <c r="O22" s="17"/>
      <c r="P22" s="17" t="s">
        <v>593</v>
      </c>
      <c r="Q22" s="17"/>
      <c r="R22" s="17"/>
      <c r="S22" s="17"/>
      <c r="T22" s="17"/>
      <c r="U22" s="17"/>
      <c r="V22" s="17"/>
      <c r="W22" s="17"/>
      <c r="X22" s="17"/>
      <c r="Y22" s="17"/>
      <c r="Z22" s="17"/>
      <c r="AA22" s="17"/>
      <c r="AB22" s="17"/>
      <c r="AC22" s="17"/>
      <c r="AD22" s="17"/>
    </row>
    <row r="23" spans="1:30" ht="15.75" customHeight="1">
      <c r="A23" s="13"/>
      <c r="B23" s="17" t="s">
        <v>595</v>
      </c>
      <c r="C23" s="17" t="s">
        <v>596</v>
      </c>
      <c r="D23" s="17" t="s">
        <v>609</v>
      </c>
      <c r="E23" s="55" t="str">
        <f>IF(D23&lt;&gt;"","SD"&amp;COUNTIF($D$2:D23,"&lt;&gt;"),"")</f>
        <v>SD20</v>
      </c>
      <c r="F23" s="17"/>
      <c r="G23" s="60" t="str">
        <f t="shared" si="2"/>
        <v>https://doi.org/10.1016/j.artint.2020.103259</v>
      </c>
      <c r="H23" s="17" t="s">
        <v>598</v>
      </c>
      <c r="I23" s="17">
        <v>2020</v>
      </c>
      <c r="J23" s="17"/>
      <c r="K23" s="17"/>
      <c r="L23" s="17"/>
      <c r="M23" s="17"/>
      <c r="N23" s="17"/>
      <c r="O23" s="17"/>
      <c r="P23" s="17" t="s">
        <v>597</v>
      </c>
      <c r="Q23" s="17"/>
      <c r="R23" s="17"/>
      <c r="S23" s="17"/>
      <c r="T23" s="17"/>
      <c r="U23" s="17"/>
      <c r="V23" s="17"/>
      <c r="W23" s="17"/>
      <c r="X23" s="17"/>
      <c r="Y23" s="17"/>
      <c r="Z23" s="17"/>
      <c r="AA23" s="17"/>
      <c r="AB23" s="17"/>
      <c r="AC23" s="17"/>
      <c r="AD23" s="17"/>
    </row>
    <row r="24" spans="1:30" ht="15.75" customHeight="1">
      <c r="A24" s="13"/>
      <c r="B24" s="17" t="s">
        <v>599</v>
      </c>
      <c r="C24" s="17" t="s">
        <v>600</v>
      </c>
      <c r="D24" s="17" t="s">
        <v>610</v>
      </c>
      <c r="E24" s="55" t="str">
        <f>IF(D24&lt;&gt;"","SD"&amp;COUNTIF($D$2:D24,"&lt;&gt;"),"")</f>
        <v>SD21</v>
      </c>
      <c r="F24" s="17"/>
      <c r="G24" s="60" t="str">
        <f t="shared" si="2"/>
        <v>https://doi.org/10.1016/j.cose.2023.103605</v>
      </c>
      <c r="H24" s="17" t="s">
        <v>602</v>
      </c>
      <c r="I24" s="17">
        <v>2024</v>
      </c>
      <c r="J24" s="17"/>
      <c r="K24" s="17"/>
      <c r="L24" s="17"/>
      <c r="M24" s="17"/>
      <c r="N24" s="17"/>
      <c r="O24" s="17"/>
      <c r="P24" s="17" t="s">
        <v>601</v>
      </c>
      <c r="Q24" s="17"/>
      <c r="R24" s="17"/>
      <c r="S24" s="17"/>
      <c r="T24" s="17"/>
      <c r="U24" s="17"/>
      <c r="V24" s="17"/>
      <c r="W24" s="17"/>
      <c r="X24" s="17"/>
      <c r="Y24" s="17"/>
      <c r="Z24" s="17"/>
      <c r="AA24" s="17"/>
      <c r="AB24" s="17"/>
      <c r="AC24" s="17"/>
      <c r="AD24" s="17"/>
    </row>
    <row r="25" spans="1:30" ht="15.75" customHeight="1">
      <c r="B25" s="55"/>
      <c r="C25" s="55"/>
      <c r="D25" s="55"/>
      <c r="E25" s="55" t="str">
        <f>IF(D25&lt;&gt;"","SD"&amp;COUNTIF($D$2:D25,"&lt;&gt;"),"")</f>
        <v/>
      </c>
      <c r="F25" s="17"/>
      <c r="G25" s="60" t="str">
        <f t="shared" si="2"/>
        <v/>
      </c>
      <c r="H25" s="55"/>
      <c r="I25" s="17"/>
      <c r="J25" s="17"/>
      <c r="K25" s="17"/>
      <c r="L25" s="17"/>
      <c r="M25" s="17"/>
      <c r="N25" s="17"/>
      <c r="O25" s="17"/>
      <c r="P25" s="17"/>
      <c r="Q25" s="17"/>
      <c r="R25" s="17"/>
      <c r="S25" s="17"/>
      <c r="T25" s="17"/>
      <c r="U25" s="17"/>
      <c r="V25" s="17"/>
      <c r="W25" s="17"/>
      <c r="X25" s="17"/>
      <c r="Y25" s="17"/>
      <c r="Z25" s="17"/>
      <c r="AA25" s="17"/>
      <c r="AB25" s="17"/>
      <c r="AC25" s="17"/>
      <c r="AD25" s="17"/>
    </row>
    <row r="26" spans="1:30" ht="15.75" customHeight="1">
      <c r="A26" s="58" t="s">
        <v>231</v>
      </c>
      <c r="B26" s="17" t="s">
        <v>611</v>
      </c>
      <c r="C26" s="17" t="s">
        <v>612</v>
      </c>
      <c r="D26" s="17" t="s">
        <v>623</v>
      </c>
      <c r="E26" s="55" t="str">
        <f>IF(D26&lt;&gt;"","SD"&amp;COUNTIF($D$2:D26,"&lt;&gt;"),"")</f>
        <v>SD22</v>
      </c>
      <c r="F26" s="17"/>
      <c r="G26" s="60" t="str">
        <f t="shared" si="2"/>
        <v>https://doi.org/10.1016/j.measurement.2023.112505</v>
      </c>
      <c r="H26" s="17" t="s">
        <v>614</v>
      </c>
      <c r="I26" s="17">
        <v>2023</v>
      </c>
      <c r="J26" s="17"/>
      <c r="K26" s="17"/>
      <c r="L26" s="17"/>
      <c r="M26" s="17"/>
      <c r="N26" s="17"/>
      <c r="O26" s="17"/>
      <c r="P26" s="17" t="s">
        <v>613</v>
      </c>
      <c r="Q26" s="17"/>
      <c r="R26" s="17"/>
      <c r="S26" s="17"/>
      <c r="T26" s="17"/>
      <c r="U26" s="17"/>
      <c r="V26" s="17"/>
      <c r="W26" s="17"/>
      <c r="X26" s="17"/>
      <c r="Y26" s="17"/>
      <c r="Z26" s="17"/>
      <c r="AA26" s="17"/>
      <c r="AB26" s="17"/>
      <c r="AC26" s="17"/>
      <c r="AD26" s="17"/>
    </row>
    <row r="27" spans="1:30" ht="14.4">
      <c r="B27" s="17" t="s">
        <v>615</v>
      </c>
      <c r="C27" s="17" t="s">
        <v>616</v>
      </c>
      <c r="D27" s="17" t="s">
        <v>624</v>
      </c>
      <c r="E27" s="55" t="str">
        <f>IF(D27&lt;&gt;"","SD"&amp;COUNTIF($D$2:D27,"&lt;&gt;"),"")</f>
        <v>SD23</v>
      </c>
      <c r="F27" s="17"/>
      <c r="G27" s="60" t="str">
        <f t="shared" si="2"/>
        <v>https://doi.org/10.1016/j.iot.2024.101251</v>
      </c>
      <c r="H27" s="17" t="s">
        <v>618</v>
      </c>
      <c r="I27" s="17">
        <v>2024</v>
      </c>
      <c r="J27" s="17"/>
      <c r="K27" s="17"/>
      <c r="L27" s="17"/>
      <c r="M27" s="17"/>
      <c r="N27" s="17"/>
      <c r="O27" s="17"/>
      <c r="P27" s="17" t="s">
        <v>617</v>
      </c>
      <c r="Q27" s="17"/>
      <c r="R27" s="17"/>
      <c r="S27" s="17"/>
      <c r="T27" s="17"/>
      <c r="U27" s="17"/>
      <c r="V27" s="17"/>
      <c r="W27" s="17"/>
      <c r="X27" s="17"/>
      <c r="Y27" s="17"/>
      <c r="Z27" s="17"/>
      <c r="AA27" s="17"/>
      <c r="AB27" s="17"/>
      <c r="AC27" s="17"/>
      <c r="AD27" s="17"/>
    </row>
    <row r="28" spans="1:30" ht="14.4">
      <c r="A28" s="13"/>
      <c r="B28" s="17" t="s">
        <v>619</v>
      </c>
      <c r="C28" s="17" t="s">
        <v>620</v>
      </c>
      <c r="D28" s="17" t="s">
        <v>625</v>
      </c>
      <c r="E28" s="55" t="str">
        <f>IF(D28&lt;&gt;"","SD"&amp;COUNTIF($D$2:D28,"&lt;&gt;"),"")</f>
        <v>SD24</v>
      </c>
      <c r="F28" s="17"/>
      <c r="G28" s="60" t="str">
        <f t="shared" si="2"/>
        <v>https://doi.org/10.2174/0123520965284529240407083504</v>
      </c>
      <c r="H28" s="17" t="s">
        <v>622</v>
      </c>
      <c r="I28" s="17">
        <v>2025</v>
      </c>
      <c r="J28" s="17"/>
      <c r="K28" s="17"/>
      <c r="L28" s="17"/>
      <c r="M28" s="17"/>
      <c r="N28" s="17"/>
      <c r="O28" s="17"/>
      <c r="P28" s="17" t="s">
        <v>621</v>
      </c>
      <c r="Q28" s="17"/>
      <c r="R28" s="17"/>
      <c r="S28" s="17"/>
      <c r="T28" s="17"/>
      <c r="U28" s="17"/>
      <c r="V28" s="17"/>
      <c r="W28" s="17"/>
      <c r="X28" s="17"/>
      <c r="Y28" s="17"/>
      <c r="Z28" s="17"/>
      <c r="AA28" s="17"/>
      <c r="AB28" s="17"/>
      <c r="AC28" s="17"/>
      <c r="AD28" s="17"/>
    </row>
    <row r="29" spans="1:30" ht="14.4">
      <c r="A29" s="13"/>
      <c r="B29" s="17"/>
      <c r="C29" s="17"/>
      <c r="D29" s="17"/>
      <c r="E29" s="55" t="str">
        <f>IF(D29&lt;&gt;"","SD"&amp;COUNTIF($D$2:D29,"&lt;&gt;"),"")</f>
        <v/>
      </c>
      <c r="F29" s="17"/>
      <c r="G29" s="60" t="str">
        <f t="shared" si="2"/>
        <v/>
      </c>
      <c r="H29" s="17"/>
      <c r="I29" s="17"/>
      <c r="J29" s="17"/>
      <c r="K29" s="17"/>
      <c r="L29" s="17"/>
      <c r="M29" s="17"/>
      <c r="N29" s="17"/>
      <c r="O29" s="17"/>
      <c r="P29" s="17"/>
      <c r="Q29" s="17"/>
      <c r="R29" s="17"/>
      <c r="S29" s="17"/>
      <c r="T29" s="17"/>
      <c r="U29" s="17"/>
      <c r="V29" s="17"/>
      <c r="W29" s="17"/>
      <c r="X29" s="17"/>
      <c r="Y29" s="17"/>
      <c r="Z29" s="17"/>
      <c r="AA29" s="17"/>
      <c r="AB29" s="17"/>
      <c r="AC29" s="17"/>
      <c r="AD29" s="17"/>
    </row>
    <row r="30" spans="1:30" ht="14.4">
      <c r="A30" s="53" t="s">
        <v>262</v>
      </c>
      <c r="B30" s="17" t="s">
        <v>626</v>
      </c>
      <c r="C30" s="17" t="s">
        <v>627</v>
      </c>
      <c r="D30" s="17" t="s">
        <v>629</v>
      </c>
      <c r="E30" s="55" t="str">
        <f>IF(D30&lt;&gt;"","SD"&amp;COUNTIF($D$2:D30,"&lt;&gt;"),"")</f>
        <v>SD25</v>
      </c>
      <c r="F30" s="17"/>
      <c r="G30" s="60" t="str">
        <f t="shared" si="2"/>
        <v>https://doi.org/10.1016/j.image.2025.117421</v>
      </c>
      <c r="H30" s="17" t="s">
        <v>630</v>
      </c>
      <c r="I30" s="17">
        <v>2025</v>
      </c>
      <c r="J30" s="17"/>
      <c r="K30" s="17"/>
      <c r="L30" s="17"/>
      <c r="M30" s="17"/>
      <c r="N30" s="17"/>
      <c r="O30" s="17"/>
      <c r="P30" s="17" t="s">
        <v>628</v>
      </c>
      <c r="Q30" s="17"/>
      <c r="R30" s="17"/>
      <c r="S30" s="17"/>
      <c r="T30" s="17"/>
      <c r="U30" s="17"/>
      <c r="V30" s="17"/>
      <c r="W30" s="17"/>
      <c r="X30" s="17"/>
      <c r="Y30" s="17"/>
      <c r="Z30" s="17"/>
      <c r="AA30" s="17"/>
      <c r="AB30" s="17"/>
      <c r="AC30" s="17"/>
      <c r="AD30" s="17"/>
    </row>
    <row r="31" spans="1:30" ht="14.4">
      <c r="A31" s="13"/>
      <c r="B31" s="17" t="s">
        <v>631</v>
      </c>
      <c r="C31" s="17" t="s">
        <v>632</v>
      </c>
      <c r="D31" s="17" t="s">
        <v>634</v>
      </c>
      <c r="E31" s="55" t="str">
        <f>IF(D31&lt;&gt;"","SD"&amp;COUNTIF($D$2:D31,"&lt;&gt;"),"")</f>
        <v>SD26</v>
      </c>
      <c r="F31" s="17"/>
      <c r="G31" s="60" t="str">
        <f t="shared" si="2"/>
        <v>https://doi.org/10.1016/j.apgeog.2025.103743</v>
      </c>
      <c r="H31" s="17" t="s">
        <v>635</v>
      </c>
      <c r="I31" s="17">
        <v>2025</v>
      </c>
      <c r="J31" s="17"/>
      <c r="K31" s="17"/>
      <c r="L31" s="17"/>
      <c r="M31" s="17"/>
      <c r="N31" s="17"/>
      <c r="O31" s="17"/>
      <c r="P31" s="17" t="s">
        <v>633</v>
      </c>
      <c r="Q31" s="17"/>
      <c r="R31" s="17"/>
      <c r="S31" s="17"/>
      <c r="T31" s="17"/>
      <c r="U31" s="17"/>
      <c r="V31" s="17"/>
      <c r="W31" s="17"/>
      <c r="X31" s="17"/>
      <c r="Y31" s="17"/>
      <c r="Z31" s="17"/>
      <c r="AA31" s="17"/>
      <c r="AB31" s="17"/>
      <c r="AC31" s="17"/>
      <c r="AD31" s="17"/>
    </row>
    <row r="32" spans="1:30" ht="14.4">
      <c r="B32" s="17" t="s">
        <v>636</v>
      </c>
      <c r="C32" s="17" t="s">
        <v>637</v>
      </c>
      <c r="D32" s="17" t="s">
        <v>639</v>
      </c>
      <c r="E32" s="55" t="str">
        <f>IF(D32&lt;&gt;"","SD"&amp;COUNTIF($D$2:D32,"&lt;&gt;"),"")</f>
        <v>SD27</v>
      </c>
      <c r="F32" s="17"/>
      <c r="G32" s="60" t="str">
        <f t="shared" si="2"/>
        <v>https://doi.org/10.1016/j.image.2025.117403</v>
      </c>
      <c r="H32" s="17" t="s">
        <v>640</v>
      </c>
      <c r="I32" s="17">
        <v>2025</v>
      </c>
      <c r="J32" s="17"/>
      <c r="K32" s="17"/>
      <c r="L32" s="17"/>
      <c r="M32" s="17"/>
      <c r="N32" s="17"/>
      <c r="O32" s="17"/>
      <c r="P32" s="17" t="s">
        <v>638</v>
      </c>
      <c r="Q32" s="17"/>
      <c r="R32" s="17"/>
      <c r="S32" s="17"/>
      <c r="T32" s="17"/>
      <c r="U32" s="17"/>
      <c r="V32" s="17"/>
      <c r="W32" s="17"/>
      <c r="X32" s="17"/>
      <c r="Y32" s="17"/>
      <c r="Z32" s="17"/>
      <c r="AA32" s="17"/>
      <c r="AB32" s="17"/>
      <c r="AC32" s="17"/>
      <c r="AD32" s="17"/>
    </row>
    <row r="33" spans="1:30" ht="14.4">
      <c r="A33" s="13"/>
      <c r="B33" s="17" t="s">
        <v>641</v>
      </c>
      <c r="C33" s="17" t="s">
        <v>642</v>
      </c>
      <c r="D33" s="17" t="s">
        <v>644</v>
      </c>
      <c r="E33" s="55" t="str">
        <f>IF(D33&lt;&gt;"","SD"&amp;COUNTIF($D$2:D33,"&lt;&gt;"),"")</f>
        <v>SD28</v>
      </c>
      <c r="F33" s="17"/>
      <c r="G33" s="60" t="str">
        <f t="shared" si="2"/>
        <v>https://doi.org/10.1016/j.aap.2025.108207</v>
      </c>
      <c r="H33" s="17" t="s">
        <v>645</v>
      </c>
      <c r="I33" s="17">
        <v>2025</v>
      </c>
      <c r="J33" s="17"/>
      <c r="K33" s="17"/>
      <c r="L33" s="17"/>
      <c r="M33" s="17"/>
      <c r="N33" s="17"/>
      <c r="O33" s="17"/>
      <c r="P33" s="17" t="s">
        <v>643</v>
      </c>
      <c r="Q33" s="17"/>
      <c r="R33" s="17"/>
      <c r="S33" s="17"/>
      <c r="T33" s="17"/>
      <c r="U33" s="17"/>
      <c r="V33" s="17"/>
      <c r="W33" s="17"/>
      <c r="X33" s="17"/>
      <c r="Y33" s="17"/>
      <c r="Z33" s="17"/>
      <c r="AA33" s="17"/>
      <c r="AB33" s="17"/>
      <c r="AC33" s="17"/>
      <c r="AD33" s="17"/>
    </row>
    <row r="34" spans="1:30" ht="14.4">
      <c r="B34" s="17" t="s">
        <v>646</v>
      </c>
      <c r="C34" s="17" t="s">
        <v>647</v>
      </c>
      <c r="D34" s="17" t="s">
        <v>649</v>
      </c>
      <c r="E34" s="55" t="str">
        <f>IF(D34&lt;&gt;"","SD"&amp;COUNTIF($D$2:D34,"&lt;&gt;"),"")</f>
        <v>SD29</v>
      </c>
      <c r="F34" s="17"/>
      <c r="G34" s="60" t="str">
        <f t="shared" si="2"/>
        <v>https://doi.org/10.1016/j.engappai.2025.111748</v>
      </c>
      <c r="H34" s="17" t="s">
        <v>650</v>
      </c>
      <c r="I34" s="17">
        <v>2025</v>
      </c>
      <c r="J34" s="17"/>
      <c r="K34" s="17"/>
      <c r="L34" s="17"/>
      <c r="M34" s="17"/>
      <c r="N34" s="17"/>
      <c r="O34" s="17"/>
      <c r="P34" s="17" t="s">
        <v>648</v>
      </c>
      <c r="Q34" s="17"/>
      <c r="R34" s="17"/>
      <c r="S34" s="17"/>
      <c r="T34" s="17"/>
      <c r="U34" s="17"/>
      <c r="V34" s="17"/>
      <c r="W34" s="17"/>
      <c r="X34" s="17"/>
      <c r="Y34" s="17"/>
      <c r="Z34" s="17"/>
      <c r="AA34" s="17"/>
      <c r="AB34" s="17"/>
      <c r="AC34" s="17"/>
      <c r="AD34" s="17"/>
    </row>
    <row r="35" spans="1:30" ht="14.4">
      <c r="A35" s="13"/>
      <c r="B35" s="17"/>
      <c r="C35" s="17"/>
      <c r="D35" s="17"/>
      <c r="E35" s="55" t="str">
        <f>IF(D35&lt;&gt;"","SD"&amp;COUNTIF($D$2:D35,"&lt;&gt;"),"")</f>
        <v/>
      </c>
      <c r="F35" s="17"/>
      <c r="G35" s="60" t="str">
        <f t="shared" si="2"/>
        <v/>
      </c>
      <c r="H35" s="17"/>
      <c r="I35" s="17"/>
      <c r="J35" s="17"/>
      <c r="K35" s="17"/>
      <c r="L35" s="17"/>
      <c r="M35" s="17"/>
      <c r="N35" s="17"/>
      <c r="O35" s="17"/>
      <c r="P35" s="17"/>
      <c r="Q35" s="17"/>
      <c r="R35" s="17"/>
      <c r="S35" s="17"/>
      <c r="T35" s="17"/>
      <c r="U35" s="17"/>
      <c r="V35" s="17"/>
      <c r="W35" s="17"/>
      <c r="X35" s="17"/>
      <c r="Y35" s="17"/>
      <c r="Z35" s="17"/>
      <c r="AA35" s="17"/>
      <c r="AB35" s="17"/>
      <c r="AC35" s="17"/>
      <c r="AD35" s="17"/>
    </row>
    <row r="36" spans="1:30" ht="14.4">
      <c r="A36" s="53" t="s">
        <v>298</v>
      </c>
      <c r="B36" s="17" t="s">
        <v>651</v>
      </c>
      <c r="C36" s="17" t="s">
        <v>652</v>
      </c>
      <c r="D36" s="17" t="s">
        <v>654</v>
      </c>
      <c r="E36" s="55" t="str">
        <f>IF(D36&lt;&gt;"","SD"&amp;COUNTIF($D$2:D36,"&lt;&gt;"),"")</f>
        <v>SD30</v>
      </c>
      <c r="F36" s="17"/>
      <c r="G36" s="60" t="str">
        <f t="shared" si="2"/>
        <v>https://doi.org/10.1016/j.caeai.2025.100364</v>
      </c>
      <c r="H36" s="17" t="s">
        <v>655</v>
      </c>
      <c r="I36" s="17">
        <v>2025</v>
      </c>
      <c r="J36" s="17"/>
      <c r="K36" s="17"/>
      <c r="L36" s="17"/>
      <c r="M36" s="17"/>
      <c r="N36" s="17"/>
      <c r="O36" s="17"/>
      <c r="P36" s="17" t="s">
        <v>653</v>
      </c>
      <c r="Q36" s="17"/>
      <c r="R36" s="17"/>
      <c r="S36" s="17"/>
      <c r="T36" s="17"/>
      <c r="U36" s="17"/>
      <c r="V36" s="17"/>
      <c r="W36" s="17"/>
      <c r="X36" s="17"/>
      <c r="Y36" s="17"/>
      <c r="Z36" s="17"/>
      <c r="AA36" s="17"/>
      <c r="AB36" s="17"/>
      <c r="AC36" s="17"/>
      <c r="AD36" s="17"/>
    </row>
    <row r="37" spans="1:30" ht="14.4">
      <c r="A37" s="13"/>
      <c r="B37" s="17" t="s">
        <v>656</v>
      </c>
      <c r="C37" s="17" t="s">
        <v>657</v>
      </c>
      <c r="D37" s="17" t="s">
        <v>659</v>
      </c>
      <c r="E37" s="55" t="str">
        <f>IF(D37&lt;&gt;"","SD"&amp;COUNTIF($D$2:D37,"&lt;&gt;"),"")</f>
        <v>SD31</v>
      </c>
      <c r="F37" s="17"/>
      <c r="G37" s="60" t="str">
        <f t="shared" si="2"/>
        <v>https://doi.org/10.1016/j.procs.2025.03.021</v>
      </c>
      <c r="H37" s="17" t="s">
        <v>660</v>
      </c>
      <c r="I37" s="17">
        <v>2025</v>
      </c>
      <c r="J37" s="17"/>
      <c r="K37" s="17"/>
      <c r="L37" s="17"/>
      <c r="M37" s="17"/>
      <c r="N37" s="17"/>
      <c r="O37" s="17"/>
      <c r="P37" s="17" t="s">
        <v>658</v>
      </c>
      <c r="Q37" s="17"/>
      <c r="R37" s="17"/>
      <c r="S37" s="17"/>
      <c r="T37" s="17"/>
      <c r="U37" s="17"/>
      <c r="V37" s="17"/>
      <c r="W37" s="17"/>
      <c r="X37" s="17"/>
      <c r="Y37" s="17"/>
      <c r="Z37" s="17"/>
      <c r="AA37" s="17"/>
      <c r="AB37" s="17"/>
      <c r="AC37" s="17"/>
      <c r="AD37" s="17"/>
    </row>
    <row r="38" spans="1:30" ht="14.4">
      <c r="A38" s="13"/>
      <c r="B38" s="17" t="s">
        <v>661</v>
      </c>
      <c r="C38" s="17" t="s">
        <v>662</v>
      </c>
      <c r="D38" s="17" t="s">
        <v>664</v>
      </c>
      <c r="E38" s="55" t="str">
        <f>IF(D38&lt;&gt;"","SD"&amp;COUNTIF($D$2:D38,"&lt;&gt;"),"")</f>
        <v>SD32</v>
      </c>
      <c r="F38" s="17"/>
      <c r="G38" s="60" t="str">
        <f t="shared" si="2"/>
        <v>https://doi.org/10.1016/j.cviu.2024.104142</v>
      </c>
      <c r="H38" s="17" t="s">
        <v>665</v>
      </c>
      <c r="I38" s="17">
        <v>2024</v>
      </c>
      <c r="J38" s="17"/>
      <c r="K38" s="17"/>
      <c r="L38" s="17"/>
      <c r="M38" s="17"/>
      <c r="N38" s="17"/>
      <c r="O38" s="17"/>
      <c r="P38" s="17" t="s">
        <v>663</v>
      </c>
      <c r="Q38" s="17"/>
      <c r="R38" s="17"/>
      <c r="S38" s="17"/>
      <c r="T38" s="17"/>
      <c r="U38" s="17"/>
      <c r="V38" s="17"/>
      <c r="W38" s="17"/>
      <c r="X38" s="17"/>
      <c r="Y38" s="17"/>
      <c r="Z38" s="17"/>
      <c r="AA38" s="17"/>
      <c r="AB38" s="17"/>
      <c r="AC38" s="17"/>
      <c r="AD38" s="17"/>
    </row>
    <row r="39" spans="1:30" ht="14.4">
      <c r="A39" s="13"/>
      <c r="B39" s="17" t="s">
        <v>666</v>
      </c>
      <c r="C39" s="17" t="s">
        <v>667</v>
      </c>
      <c r="D39" s="17" t="s">
        <v>669</v>
      </c>
      <c r="E39" s="55" t="str">
        <f>IF(D39&lt;&gt;"","SD"&amp;COUNTIF($D$2:D39,"&lt;&gt;"),"")</f>
        <v>SD33</v>
      </c>
      <c r="F39" s="17"/>
      <c r="G39" s="60" t="str">
        <f t="shared" si="2"/>
        <v>https://doi.org/10.1016/j.jss.2025.112333</v>
      </c>
      <c r="H39" s="17" t="s">
        <v>670</v>
      </c>
      <c r="I39" s="17">
        <v>2025</v>
      </c>
      <c r="J39" s="17"/>
      <c r="K39" s="17"/>
      <c r="L39" s="17"/>
      <c r="M39" s="17"/>
      <c r="N39" s="17"/>
      <c r="O39" s="17"/>
      <c r="P39" s="17" t="s">
        <v>668</v>
      </c>
      <c r="Q39" s="17"/>
      <c r="R39" s="17"/>
      <c r="S39" s="17"/>
      <c r="T39" s="17"/>
      <c r="U39" s="17"/>
      <c r="V39" s="17"/>
      <c r="W39" s="17"/>
      <c r="X39" s="17"/>
      <c r="Y39" s="17"/>
      <c r="Z39" s="17"/>
      <c r="AA39" s="17"/>
      <c r="AB39" s="17"/>
      <c r="AC39" s="17"/>
      <c r="AD39" s="17"/>
    </row>
    <row r="40" spans="1:30" ht="14.4">
      <c r="A40" s="13"/>
      <c r="B40" s="17"/>
      <c r="C40" s="17"/>
      <c r="D40" s="17"/>
      <c r="E40" s="17"/>
      <c r="F40" s="17"/>
      <c r="G40" s="60" t="str">
        <f t="shared" si="2"/>
        <v/>
      </c>
      <c r="H40" s="17"/>
      <c r="I40" s="17"/>
      <c r="J40" s="17"/>
      <c r="K40" s="17"/>
      <c r="L40" s="17"/>
      <c r="M40" s="17"/>
      <c r="N40" s="17"/>
      <c r="O40" s="17"/>
      <c r="P40" s="17"/>
      <c r="Q40" s="17"/>
      <c r="R40" s="17"/>
      <c r="S40" s="17"/>
      <c r="T40" s="17"/>
      <c r="U40" s="17"/>
      <c r="V40" s="17"/>
      <c r="W40" s="17"/>
      <c r="X40" s="17"/>
      <c r="Y40" s="17"/>
      <c r="Z40" s="17"/>
      <c r="AA40" s="17"/>
      <c r="AB40" s="17"/>
      <c r="AC40" s="17"/>
      <c r="AD40" s="17"/>
    </row>
    <row r="41" spans="1:30" ht="14.4">
      <c r="A41" s="13"/>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row>
    <row r="42" spans="1:30" ht="14.4">
      <c r="A42" s="13"/>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row>
    <row r="43" spans="1:30" ht="14.4">
      <c r="A43" s="13"/>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row>
    <row r="44" spans="1:30" ht="14.4">
      <c r="A44" s="13"/>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row>
    <row r="45" spans="1:30" ht="14.4">
      <c r="A45" s="13"/>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row>
    <row r="46" spans="1:30" ht="14.4">
      <c r="A46" s="53"/>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row>
    <row r="47" spans="1:30" ht="14.4">
      <c r="A47" s="13"/>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row>
    <row r="48" spans="1:30" ht="14.4">
      <c r="A48" s="13"/>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row>
    <row r="49" spans="1:30" ht="14.4">
      <c r="A49" s="13"/>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row>
    <row r="50" spans="1:30" ht="14.4">
      <c r="A50" s="13"/>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row>
    <row r="51" spans="1:30" ht="14.4">
      <c r="A51" s="13"/>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row>
    <row r="52" spans="1:30" ht="14.4">
      <c r="A52" s="13"/>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row>
    <row r="53" spans="1:30" ht="14.4">
      <c r="A53" s="13"/>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row>
    <row r="54" spans="1:30" ht="14.4">
      <c r="A54" s="13"/>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row>
    <row r="55" spans="1:30" ht="14.4">
      <c r="A55" s="13"/>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row>
    <row r="56" spans="1:30" ht="14.4">
      <c r="A56" s="13"/>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row>
    <row r="57" spans="1:30" ht="14.4">
      <c r="A57" s="13"/>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row>
    <row r="58" spans="1:30" ht="14.4">
      <c r="A58" s="13"/>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row>
    <row r="59" spans="1:30" ht="14.4">
      <c r="A59" s="13"/>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row>
    <row r="60" spans="1:30" ht="14.4">
      <c r="A60" s="13"/>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row>
    <row r="61" spans="1:30" ht="14.4">
      <c r="A61" s="13"/>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row>
    <row r="62" spans="1:30" ht="14.4">
      <c r="A62" s="13"/>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row>
    <row r="63" spans="1:30" ht="14.4">
      <c r="A63" s="13"/>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row>
    <row r="64" spans="1:30" ht="14.4">
      <c r="A64" s="13"/>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row>
    <row r="65" spans="1:30" ht="14.4">
      <c r="A65" s="13"/>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row>
    <row r="66" spans="1:30" ht="14.4">
      <c r="A66" s="13"/>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row>
    <row r="67" spans="1:30" ht="14.4">
      <c r="A67" s="13"/>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row>
    <row r="68" spans="1:30" ht="14.4">
      <c r="A68" s="13"/>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row>
    <row r="69" spans="1:30" ht="14.4">
      <c r="A69" s="13"/>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row>
    <row r="70" spans="1:30" ht="14.4">
      <c r="A70" s="13"/>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row>
    <row r="71" spans="1:30" ht="14.4">
      <c r="A71" s="13"/>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row>
    <row r="72" spans="1:30" ht="14.4">
      <c r="A72" s="13"/>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row>
    <row r="73" spans="1:30" ht="14.4">
      <c r="A73" s="13"/>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row>
    <row r="74" spans="1:30" ht="14.4">
      <c r="A74" s="13"/>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row>
    <row r="75" spans="1:30" ht="14.4">
      <c r="A75" s="13"/>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row>
    <row r="76" spans="1:30" ht="14.4">
      <c r="A76" s="13"/>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row>
    <row r="77" spans="1:30" ht="14.4">
      <c r="A77" s="13"/>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row>
    <row r="78" spans="1:30" ht="14.4">
      <c r="A78" s="13"/>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row>
    <row r="79" spans="1:30" ht="14.4">
      <c r="A79" s="13"/>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row>
    <row r="80" spans="1:30" ht="14.4">
      <c r="A80" s="13"/>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row>
    <row r="81" spans="1:30" ht="14.4">
      <c r="A81" s="13"/>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row>
    <row r="82" spans="1:30" ht="14.4">
      <c r="A82" s="13"/>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row>
    <row r="83" spans="1:30" ht="14.4">
      <c r="A83" s="13"/>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row>
    <row r="84" spans="1:30" ht="14.4">
      <c r="A84" s="13"/>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row>
    <row r="85" spans="1:30" ht="14.4">
      <c r="A85" s="13"/>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row>
    <row r="86" spans="1:30" ht="14.4">
      <c r="A86" s="13"/>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row>
    <row r="87" spans="1:30" ht="14.4">
      <c r="A87" s="13"/>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row>
    <row r="88" spans="1:30" ht="14.4">
      <c r="A88" s="13"/>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row>
    <row r="89" spans="1:30" ht="14.4">
      <c r="A89" s="13"/>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row>
    <row r="90" spans="1:30" ht="14.4">
      <c r="A90" s="13"/>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row>
    <row r="91" spans="1:30" ht="14.4">
      <c r="A91" s="13"/>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row>
    <row r="92" spans="1:30" ht="14.4">
      <c r="A92" s="13"/>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row>
    <row r="93" spans="1:30" ht="14.4">
      <c r="A93" s="13"/>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row>
    <row r="94" spans="1:30" ht="14.4">
      <c r="A94" s="13"/>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row>
    <row r="95" spans="1:30" ht="14.4">
      <c r="A95" s="13"/>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row>
    <row r="96" spans="1:30" ht="14.4">
      <c r="A96" s="13"/>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row>
    <row r="97" spans="1:30" ht="14.4">
      <c r="A97" s="13"/>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row>
    <row r="98" spans="1:30" ht="14.4">
      <c r="A98" s="13"/>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row>
    <row r="99" spans="1:30" ht="14.4">
      <c r="A99" s="13"/>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row>
    <row r="100" spans="1:30" ht="14.4">
      <c r="A100" s="13"/>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row>
    <row r="101" spans="1:30" ht="14.4">
      <c r="A101" s="13"/>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row>
    <row r="102" spans="1:30" ht="14.4">
      <c r="A102" s="13"/>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row>
    <row r="103" spans="1:30" ht="14.4">
      <c r="A103" s="13"/>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row>
    <row r="104" spans="1:30" ht="14.4">
      <c r="A104" s="13"/>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row>
    <row r="105" spans="1:30" ht="14.4">
      <c r="A105" s="13"/>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row>
    <row r="106" spans="1:30" ht="14.4">
      <c r="A106" s="13"/>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row>
    <row r="107" spans="1:30" ht="14.4">
      <c r="A107" s="13"/>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row>
    <row r="108" spans="1:30" ht="14.4">
      <c r="A108" s="13"/>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row>
    <row r="109" spans="1:30" ht="14.4">
      <c r="A109" s="13"/>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row>
    <row r="110" spans="1:30" ht="14.4">
      <c r="A110" s="13"/>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row>
    <row r="111" spans="1:30" ht="14.4">
      <c r="A111" s="13"/>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row>
    <row r="112" spans="1:30" ht="14.4">
      <c r="A112" s="13"/>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row>
    <row r="113" spans="1:30" ht="14.4">
      <c r="A113" s="13"/>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row>
    <row r="114" spans="1:30" ht="14.4">
      <c r="A114" s="13"/>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row>
    <row r="115" spans="1:30" ht="14.4">
      <c r="A115" s="13"/>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row>
    <row r="116" spans="1:30" ht="14.4">
      <c r="A116" s="13"/>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row>
    <row r="117" spans="1:30" ht="14.4">
      <c r="A117" s="13"/>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row>
    <row r="118" spans="1:30" ht="14.4">
      <c r="A118" s="13"/>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row>
    <row r="119" spans="1:30" ht="14.4">
      <c r="A119" s="13"/>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row>
    <row r="120" spans="1:30" ht="14.4">
      <c r="A120" s="13"/>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row>
    <row r="121" spans="1:30" ht="14.4">
      <c r="A121" s="13"/>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row>
    <row r="122" spans="1:30" ht="14.4">
      <c r="A122" s="13"/>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row>
    <row r="123" spans="1:30" ht="14.4">
      <c r="A123" s="13"/>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row>
    <row r="124" spans="1:30" ht="14.4">
      <c r="A124" s="13"/>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row>
    <row r="125" spans="1:30" ht="14.4">
      <c r="A125" s="13"/>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row>
    <row r="126" spans="1:30" ht="14.4">
      <c r="A126" s="13"/>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row>
    <row r="127" spans="1:30" ht="14.4">
      <c r="A127" s="13"/>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row>
    <row r="128" spans="1:30" ht="14.4">
      <c r="A128" s="13"/>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row>
    <row r="129" spans="1:30" ht="14.4">
      <c r="A129" s="13"/>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row>
    <row r="130" spans="1:30" ht="14.4">
      <c r="A130" s="13"/>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row>
    <row r="131" spans="1:30" ht="14.4">
      <c r="A131" s="13"/>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row>
    <row r="132" spans="1:30" ht="14.4">
      <c r="A132" s="13"/>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row>
    <row r="133" spans="1:30" ht="14.4">
      <c r="A133" s="13"/>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row>
    <row r="134" spans="1:30" ht="14.4">
      <c r="A134" s="13"/>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row>
    <row r="135" spans="1:30" ht="14.4">
      <c r="A135" s="13"/>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row>
    <row r="136" spans="1:30" ht="14.4">
      <c r="A136" s="13"/>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row>
    <row r="137" spans="1:30" ht="14.4">
      <c r="A137" s="13"/>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row>
    <row r="138" spans="1:30" ht="14.4">
      <c r="A138" s="13"/>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row>
    <row r="139" spans="1:30" ht="14.4">
      <c r="A139" s="13"/>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row>
    <row r="140" spans="1:30" ht="14.4">
      <c r="A140" s="13"/>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row>
    <row r="141" spans="1:30" ht="14.4">
      <c r="A141" s="13"/>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row>
    <row r="142" spans="1:30" ht="14.4">
      <c r="A142" s="13"/>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row>
    <row r="143" spans="1:30" ht="14.4">
      <c r="A143" s="13"/>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row>
    <row r="144" spans="1:30" ht="14.4">
      <c r="A144" s="13"/>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row>
    <row r="145" spans="1:30" ht="14.4">
      <c r="A145" s="13"/>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row>
    <row r="146" spans="1:30" ht="14.4">
      <c r="A146" s="13"/>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row>
    <row r="147" spans="1:30" ht="14.4">
      <c r="A147" s="13"/>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row>
    <row r="148" spans="1:30" ht="14.4">
      <c r="A148" s="13"/>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row>
    <row r="149" spans="1:30" ht="14.4">
      <c r="A149" s="13"/>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row>
    <row r="150" spans="1:30" ht="14.4">
      <c r="A150" s="13"/>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row>
    <row r="151" spans="1:30" ht="14.4">
      <c r="A151" s="13"/>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row>
    <row r="152" spans="1:30" ht="14.4">
      <c r="A152" s="13"/>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row>
    <row r="153" spans="1:30" ht="14.4">
      <c r="A153" s="13"/>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row>
    <row r="154" spans="1:30" ht="14.4">
      <c r="A154" s="13"/>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row>
    <row r="155" spans="1:30" ht="14.4">
      <c r="A155" s="13"/>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row>
    <row r="156" spans="1:30" ht="14.4">
      <c r="A156" s="13"/>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row>
    <row r="157" spans="1:30" ht="14.4">
      <c r="A157" s="13"/>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row>
    <row r="158" spans="1:30" ht="14.4">
      <c r="A158" s="13"/>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row>
    <row r="159" spans="1:30" ht="14.4">
      <c r="A159" s="13"/>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row>
    <row r="160" spans="1:30" ht="14.4">
      <c r="A160" s="13"/>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row>
    <row r="161" spans="1:30" ht="14.4">
      <c r="A161" s="13"/>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row>
    <row r="162" spans="1:30" ht="14.4">
      <c r="A162" s="13"/>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row>
    <row r="163" spans="1:30" ht="14.4">
      <c r="A163" s="13"/>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row>
    <row r="164" spans="1:30" ht="14.4">
      <c r="A164" s="13"/>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row>
    <row r="165" spans="1:30" ht="14.4">
      <c r="A165" s="13"/>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row>
    <row r="166" spans="1:30" ht="14.4">
      <c r="A166" s="13"/>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row>
    <row r="167" spans="1:30" ht="14.4">
      <c r="A167" s="13"/>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row>
    <row r="168" spans="1:30" ht="14.4">
      <c r="A168" s="13"/>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row>
    <row r="169" spans="1:30" ht="14.4">
      <c r="A169" s="13"/>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row>
    <row r="170" spans="1:30" ht="14.4">
      <c r="A170" s="13"/>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row>
    <row r="171" spans="1:30" ht="14.4">
      <c r="A171" s="13"/>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row>
    <row r="172" spans="1:30" ht="14.4">
      <c r="A172" s="13"/>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row>
    <row r="173" spans="1:30" ht="14.4">
      <c r="A173" s="13"/>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row>
    <row r="174" spans="1:30" ht="14.4">
      <c r="A174" s="13"/>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row>
    <row r="175" spans="1:30" ht="14.4">
      <c r="A175" s="13"/>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row>
    <row r="176" spans="1:30" ht="14.4">
      <c r="A176" s="13"/>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row>
    <row r="177" spans="1:30" ht="14.4">
      <c r="A177" s="13"/>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row>
    <row r="178" spans="1:30" ht="14.4">
      <c r="A178" s="13"/>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row>
    <row r="179" spans="1:30" ht="14.4">
      <c r="A179" s="13"/>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row>
    <row r="180" spans="1:30" ht="14.4">
      <c r="A180" s="13"/>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row>
    <row r="181" spans="1:30" ht="14.4">
      <c r="A181" s="13"/>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row>
    <row r="182" spans="1:30" ht="14.4">
      <c r="A182" s="13"/>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row>
    <row r="183" spans="1:30" ht="14.4">
      <c r="A183" s="13"/>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row>
    <row r="184" spans="1:30" ht="14.4">
      <c r="A184" s="13"/>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row>
    <row r="185" spans="1:30" ht="14.4">
      <c r="A185" s="13"/>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row>
    <row r="186" spans="1:30" ht="14.4">
      <c r="A186" s="13"/>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row>
    <row r="187" spans="1:30" ht="14.4">
      <c r="A187" s="13"/>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row>
    <row r="188" spans="1:30" ht="14.4">
      <c r="A188" s="13"/>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row>
    <row r="189" spans="1:30" ht="14.4">
      <c r="A189" s="13"/>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row>
    <row r="190" spans="1:30" ht="14.4">
      <c r="A190" s="13"/>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row>
    <row r="191" spans="1:30" ht="14.4">
      <c r="A191" s="13"/>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row>
    <row r="192" spans="1:30" ht="14.4">
      <c r="A192" s="13"/>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row>
    <row r="193" spans="1:30" ht="14.4">
      <c r="A193" s="13"/>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row>
    <row r="194" spans="1:30" ht="14.4">
      <c r="A194" s="13"/>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row>
    <row r="195" spans="1:30" ht="14.4">
      <c r="A195" s="13"/>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row>
    <row r="196" spans="1:30" ht="14.4">
      <c r="A196" s="13"/>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row>
    <row r="197" spans="1:30" ht="14.4">
      <c r="A197" s="13"/>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row>
    <row r="198" spans="1:30" ht="14.4">
      <c r="A198" s="13"/>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row>
    <row r="199" spans="1:30" ht="14.4">
      <c r="A199" s="13"/>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row>
    <row r="200" spans="1:30" ht="14.4">
      <c r="A200" s="13"/>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row>
    <row r="201" spans="1:30" ht="14.4">
      <c r="A201" s="13"/>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row>
    <row r="202" spans="1:30" ht="14.4">
      <c r="A202" s="13"/>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row>
    <row r="203" spans="1:30" ht="14.4">
      <c r="A203" s="13"/>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row>
    <row r="204" spans="1:30" ht="14.4">
      <c r="A204" s="13"/>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row>
    <row r="205" spans="1:30" ht="14.4">
      <c r="A205" s="13"/>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row>
    <row r="206" spans="1:30" ht="14.4">
      <c r="A206" s="13"/>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row>
    <row r="207" spans="1:30" ht="14.4">
      <c r="A207" s="13"/>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row>
    <row r="208" spans="1:30" ht="14.4">
      <c r="A208" s="13"/>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row>
    <row r="209" spans="1:30" ht="14.4">
      <c r="A209" s="13"/>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row>
    <row r="210" spans="1:30" ht="14.4">
      <c r="A210" s="13"/>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row>
    <row r="211" spans="1:30" ht="14.4">
      <c r="A211" s="13"/>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row>
    <row r="212" spans="1:30" ht="14.4">
      <c r="A212" s="13"/>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row>
    <row r="213" spans="1:30" ht="14.4">
      <c r="A213" s="13"/>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row>
    <row r="214" spans="1:30" ht="14.4">
      <c r="A214" s="13"/>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row>
    <row r="215" spans="1:30" ht="14.4">
      <c r="A215" s="13"/>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row>
    <row r="216" spans="1:30" ht="14.4">
      <c r="A216" s="13"/>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row>
    <row r="217" spans="1:30" ht="14.4">
      <c r="A217" s="13"/>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row>
    <row r="218" spans="1:30" ht="14.4">
      <c r="A218" s="13"/>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row>
    <row r="219" spans="1:30" ht="14.4">
      <c r="A219" s="13"/>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row>
    <row r="220" spans="1:30" ht="14.4">
      <c r="A220" s="13"/>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row>
    <row r="221" spans="1:30" ht="14.4">
      <c r="A221" s="13"/>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row>
    <row r="222" spans="1:30" ht="14.4">
      <c r="A222" s="13"/>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row>
    <row r="223" spans="1:30" ht="14.4">
      <c r="A223" s="13"/>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row>
    <row r="224" spans="1:30" ht="14.4">
      <c r="A224" s="13"/>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row>
    <row r="225" spans="1:30" ht="14.4">
      <c r="A225" s="13"/>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row>
    <row r="226" spans="1:30" ht="14.4">
      <c r="A226" s="13"/>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row>
    <row r="227" spans="1:30" ht="14.4">
      <c r="A227" s="13"/>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row>
    <row r="228" spans="1:30" ht="14.4">
      <c r="A228" s="13"/>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row>
    <row r="229" spans="1:30" ht="14.4">
      <c r="A229" s="13"/>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row>
    <row r="230" spans="1:30" ht="14.4">
      <c r="A230" s="13"/>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row>
    <row r="231" spans="1:30" ht="14.4">
      <c r="A231" s="13"/>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row>
    <row r="232" spans="1:30" ht="14.4">
      <c r="A232" s="13"/>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row>
    <row r="233" spans="1:30" ht="14.4">
      <c r="A233" s="13"/>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row>
    <row r="234" spans="1:30" ht="14.4">
      <c r="A234" s="13"/>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row>
    <row r="235" spans="1:30" ht="14.4">
      <c r="A235" s="13"/>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row>
    <row r="236" spans="1:30" ht="14.4">
      <c r="A236" s="13"/>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row>
    <row r="237" spans="1:30" ht="14.4">
      <c r="A237" s="13"/>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row>
    <row r="238" spans="1:30" ht="14.4">
      <c r="A238" s="13"/>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row>
    <row r="239" spans="1:30" ht="14.4">
      <c r="A239" s="13"/>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row>
    <row r="240" spans="1:30" ht="14.4">
      <c r="A240" s="13"/>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row>
    <row r="241" spans="1:30" ht="14.4">
      <c r="A241" s="13"/>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row>
    <row r="242" spans="1:30" ht="14.4">
      <c r="A242" s="13"/>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row>
    <row r="243" spans="1:30" ht="14.4">
      <c r="A243" s="13"/>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row>
    <row r="244" spans="1:30" ht="14.4">
      <c r="A244" s="13"/>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row>
    <row r="245" spans="1:30" ht="14.4">
      <c r="A245" s="13"/>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row>
    <row r="246" spans="1:30" ht="14.4">
      <c r="A246" s="13"/>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row>
    <row r="247" spans="1:30" ht="14.4">
      <c r="A247" s="13"/>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row>
    <row r="248" spans="1:30" ht="14.4">
      <c r="A248" s="13"/>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row>
    <row r="249" spans="1:30" ht="14.4">
      <c r="A249" s="13"/>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row>
    <row r="250" spans="1:30" ht="14.4">
      <c r="A250" s="13"/>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row>
    <row r="251" spans="1:30" ht="14.4">
      <c r="A251" s="13"/>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row>
    <row r="252" spans="1:30" ht="14.4">
      <c r="A252" s="13"/>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row>
    <row r="253" spans="1:30" ht="14.4">
      <c r="A253" s="13"/>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row>
    <row r="254" spans="1:30" ht="14.4">
      <c r="A254" s="13"/>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row>
    <row r="255" spans="1:30" ht="14.4">
      <c r="A255" s="13"/>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row>
    <row r="256" spans="1:30" ht="14.4">
      <c r="A256" s="13"/>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row>
    <row r="257" spans="1:30" ht="14.4">
      <c r="A257" s="13"/>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row>
    <row r="258" spans="1:30" ht="14.4">
      <c r="A258" s="13"/>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row>
    <row r="259" spans="1:30" ht="14.4">
      <c r="A259" s="13"/>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row>
    <row r="260" spans="1:30" ht="14.4">
      <c r="A260" s="13"/>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row>
    <row r="261" spans="1:30" ht="14.4">
      <c r="A261" s="13"/>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row>
    <row r="262" spans="1:30" ht="14.4">
      <c r="A262" s="13"/>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row>
    <row r="263" spans="1:30" ht="14.4">
      <c r="A263" s="13"/>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row>
    <row r="264" spans="1:30" ht="14.4">
      <c r="A264" s="13"/>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row>
    <row r="265" spans="1:30" ht="14.4">
      <c r="A265" s="13"/>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row>
    <row r="266" spans="1:30" ht="14.4">
      <c r="A266" s="13"/>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row>
    <row r="267" spans="1:30" ht="14.4">
      <c r="A267" s="13"/>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row>
    <row r="268" spans="1:30" ht="14.4">
      <c r="A268" s="13"/>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row>
    <row r="269" spans="1:30" ht="14.4">
      <c r="A269" s="13"/>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row>
    <row r="270" spans="1:30" ht="14.4">
      <c r="A270" s="13"/>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row>
    <row r="271" spans="1:30" ht="14.4">
      <c r="A271" s="13"/>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row>
    <row r="272" spans="1:30" ht="14.4">
      <c r="A272" s="13"/>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row>
    <row r="273" spans="1:30" ht="14.4">
      <c r="A273" s="13"/>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row>
    <row r="274" spans="1:30" ht="14.4">
      <c r="A274" s="13"/>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row>
    <row r="275" spans="1:30" ht="14.4">
      <c r="A275" s="13"/>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row>
    <row r="276" spans="1:30" ht="14.4">
      <c r="A276" s="13"/>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row>
    <row r="277" spans="1:30" ht="14.4">
      <c r="A277" s="13"/>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row>
    <row r="278" spans="1:30" ht="14.4">
      <c r="A278" s="13"/>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row>
    <row r="279" spans="1:30" ht="14.4">
      <c r="A279" s="13"/>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row>
    <row r="280" spans="1:30" ht="14.4">
      <c r="A280" s="13"/>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row>
    <row r="281" spans="1:30" ht="14.4">
      <c r="A281" s="13"/>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row>
    <row r="282" spans="1:30" ht="14.4">
      <c r="A282" s="13"/>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row>
    <row r="283" spans="1:30" ht="14.4">
      <c r="A283" s="13"/>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row>
    <row r="284" spans="1:30" ht="14.4">
      <c r="A284" s="13"/>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row>
    <row r="285" spans="1:30" ht="14.4">
      <c r="A285" s="13"/>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row>
    <row r="286" spans="1:30" ht="14.4">
      <c r="A286" s="13"/>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row>
    <row r="287" spans="1:30" ht="14.4">
      <c r="A287" s="13"/>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row>
    <row r="288" spans="1:30" ht="14.4">
      <c r="A288" s="13"/>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row>
    <row r="289" spans="1:30" ht="14.4">
      <c r="A289" s="13"/>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row>
    <row r="290" spans="1:30" ht="14.4">
      <c r="A290" s="13"/>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row>
    <row r="291" spans="1:30" ht="14.4">
      <c r="A291" s="13"/>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row>
    <row r="292" spans="1:30" ht="14.4">
      <c r="A292" s="13"/>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row>
    <row r="293" spans="1:30" ht="14.4">
      <c r="A293" s="13"/>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row>
    <row r="294" spans="1:30" ht="14.4">
      <c r="A294" s="13"/>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row>
    <row r="295" spans="1:30" ht="14.4">
      <c r="A295" s="13"/>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row>
    <row r="296" spans="1:30" ht="14.4">
      <c r="A296" s="13"/>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row>
    <row r="297" spans="1:30" ht="14.4">
      <c r="A297" s="13"/>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row>
    <row r="298" spans="1:30" ht="14.4">
      <c r="A298" s="13"/>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row>
    <row r="299" spans="1:30" ht="14.4">
      <c r="A299" s="13"/>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row>
    <row r="300" spans="1:30" ht="14.4">
      <c r="A300" s="13"/>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row>
    <row r="301" spans="1:30" ht="14.4">
      <c r="A301" s="13"/>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row>
    <row r="302" spans="1:30" ht="14.4">
      <c r="A302" s="13"/>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row>
    <row r="303" spans="1:30" ht="14.4">
      <c r="A303" s="13"/>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row>
    <row r="304" spans="1:30" ht="14.4">
      <c r="A304" s="13"/>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row>
    <row r="305" spans="1:30" ht="14.4">
      <c r="A305" s="13"/>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row>
    <row r="306" spans="1:30" ht="14.4">
      <c r="A306" s="13"/>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row>
    <row r="307" spans="1:30" ht="14.4">
      <c r="A307" s="13"/>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row>
    <row r="308" spans="1:30" ht="14.4">
      <c r="A308" s="13"/>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row>
    <row r="309" spans="1:30" ht="14.4">
      <c r="A309" s="13"/>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row>
    <row r="310" spans="1:30" ht="14.4">
      <c r="A310" s="13"/>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row>
    <row r="311" spans="1:30" ht="14.4">
      <c r="A311" s="13"/>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row>
    <row r="312" spans="1:30" ht="14.4">
      <c r="A312" s="13"/>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row>
    <row r="313" spans="1:30" ht="14.4">
      <c r="A313" s="13"/>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row>
    <row r="314" spans="1:30" ht="14.4">
      <c r="A314" s="13"/>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row>
    <row r="315" spans="1:30" ht="14.4">
      <c r="A315" s="13"/>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row>
    <row r="316" spans="1:30" ht="14.4">
      <c r="A316" s="13"/>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row>
    <row r="317" spans="1:30" ht="14.4">
      <c r="A317" s="13"/>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row>
    <row r="318" spans="1:30" ht="14.4">
      <c r="A318" s="13"/>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row>
    <row r="319" spans="1:30" ht="14.4">
      <c r="A319" s="13"/>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row>
    <row r="320" spans="1:30" ht="14.4">
      <c r="A320" s="13"/>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row>
    <row r="321" spans="1:30" ht="14.4">
      <c r="A321" s="13"/>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row>
    <row r="322" spans="1:30" ht="14.4">
      <c r="A322" s="13"/>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row>
    <row r="323" spans="1:30" ht="14.4">
      <c r="A323" s="13"/>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row>
    <row r="324" spans="1:30" ht="14.4">
      <c r="A324" s="13"/>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row>
    <row r="325" spans="1:30" ht="14.4">
      <c r="A325" s="13"/>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row>
    <row r="326" spans="1:30" ht="14.4">
      <c r="A326" s="13"/>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row>
    <row r="327" spans="1:30" ht="14.4">
      <c r="A327" s="13"/>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row>
    <row r="328" spans="1:30" ht="14.4">
      <c r="A328" s="13"/>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row>
    <row r="329" spans="1:30" ht="14.4">
      <c r="A329" s="13"/>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row>
    <row r="330" spans="1:30" ht="14.4">
      <c r="A330" s="13"/>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row>
    <row r="331" spans="1:30" ht="14.4">
      <c r="A331" s="13"/>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row>
    <row r="332" spans="1:30" ht="14.4">
      <c r="A332" s="13"/>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row>
    <row r="333" spans="1:30" ht="14.4">
      <c r="A333" s="13"/>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row>
    <row r="334" spans="1:30" ht="14.4">
      <c r="A334" s="13"/>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row>
    <row r="335" spans="1:30" ht="14.4">
      <c r="A335" s="13"/>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row>
    <row r="336" spans="1:30" ht="14.4">
      <c r="A336" s="13"/>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row>
    <row r="337" spans="1:30" ht="14.4">
      <c r="A337" s="13"/>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row>
    <row r="338" spans="1:30" ht="14.4">
      <c r="A338" s="13"/>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row>
    <row r="339" spans="1:30" ht="14.4">
      <c r="A339" s="13"/>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row>
    <row r="340" spans="1:30" ht="14.4">
      <c r="A340" s="13"/>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row>
    <row r="341" spans="1:30" ht="14.4">
      <c r="A341" s="13"/>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row>
    <row r="342" spans="1:30" ht="14.4">
      <c r="A342" s="13"/>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row>
    <row r="343" spans="1:30" ht="14.4">
      <c r="A343" s="13"/>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row>
    <row r="344" spans="1:30" ht="14.4">
      <c r="A344" s="13"/>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row>
    <row r="345" spans="1:30" ht="14.4">
      <c r="A345" s="13"/>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row>
    <row r="346" spans="1:30" ht="14.4">
      <c r="A346" s="13"/>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row>
    <row r="347" spans="1:30" ht="14.4">
      <c r="A347" s="13"/>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row>
    <row r="348" spans="1:30" ht="14.4">
      <c r="A348" s="13"/>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row>
    <row r="349" spans="1:30" ht="14.4">
      <c r="A349" s="13"/>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row>
    <row r="350" spans="1:30" ht="14.4">
      <c r="A350" s="13"/>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row>
    <row r="351" spans="1:30" ht="14.4">
      <c r="A351" s="13"/>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row>
    <row r="352" spans="1:30" ht="14.4">
      <c r="A352" s="13"/>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row>
    <row r="353" spans="1:30" ht="14.4">
      <c r="A353" s="13"/>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row>
    <row r="354" spans="1:30" ht="14.4">
      <c r="A354" s="13"/>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row>
    <row r="355" spans="1:30" ht="14.4">
      <c r="A355" s="13"/>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row>
    <row r="356" spans="1:30" ht="14.4">
      <c r="A356" s="13"/>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row>
    <row r="357" spans="1:30" ht="14.4">
      <c r="A357" s="13"/>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row>
    <row r="358" spans="1:30" ht="14.4">
      <c r="A358" s="13"/>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row>
    <row r="359" spans="1:30" ht="14.4">
      <c r="A359" s="13"/>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row>
    <row r="360" spans="1:30" ht="14.4">
      <c r="A360" s="13"/>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row>
    <row r="361" spans="1:30" ht="14.4">
      <c r="A361" s="13"/>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row>
    <row r="362" spans="1:30" ht="14.4">
      <c r="A362" s="13"/>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row>
    <row r="363" spans="1:30" ht="14.4">
      <c r="A363" s="13"/>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row>
    <row r="364" spans="1:30" ht="14.4">
      <c r="A364" s="13"/>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row>
    <row r="365" spans="1:30" ht="14.4">
      <c r="A365" s="13"/>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row>
    <row r="366" spans="1:30" ht="14.4">
      <c r="A366" s="13"/>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row>
    <row r="367" spans="1:30" ht="14.4">
      <c r="A367" s="13"/>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row>
    <row r="368" spans="1:30" ht="14.4">
      <c r="A368" s="13"/>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row>
    <row r="369" spans="1:30" ht="14.4">
      <c r="A369" s="13"/>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row>
    <row r="370" spans="1:30" ht="14.4">
      <c r="A370" s="13"/>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row>
    <row r="371" spans="1:30" ht="14.4">
      <c r="A371" s="13"/>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row>
    <row r="372" spans="1:30" ht="14.4">
      <c r="A372" s="13"/>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row>
    <row r="373" spans="1:30" ht="14.4">
      <c r="A373" s="13"/>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row>
    <row r="374" spans="1:30" ht="14.4">
      <c r="A374" s="13"/>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row>
    <row r="375" spans="1:30" ht="14.4">
      <c r="A375" s="13"/>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row>
    <row r="376" spans="1:30" ht="14.4">
      <c r="A376" s="13"/>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row>
    <row r="377" spans="1:30" ht="14.4">
      <c r="A377" s="13"/>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row>
    <row r="378" spans="1:30" ht="14.4">
      <c r="A378" s="13"/>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row>
    <row r="379" spans="1:30" ht="14.4">
      <c r="A379" s="13"/>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row>
    <row r="380" spans="1:30" ht="14.4">
      <c r="A380" s="13"/>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row>
    <row r="381" spans="1:30" ht="14.4">
      <c r="A381" s="13"/>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row>
    <row r="382" spans="1:30" ht="14.4">
      <c r="A382" s="13"/>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row>
    <row r="383" spans="1:30" ht="14.4">
      <c r="A383" s="13"/>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row>
    <row r="384" spans="1:30" ht="14.4">
      <c r="A384" s="13"/>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row>
    <row r="385" spans="1:30" ht="14.4">
      <c r="A385" s="13"/>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row>
    <row r="386" spans="1:30" ht="14.4">
      <c r="A386" s="13"/>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row>
    <row r="387" spans="1:30" ht="14.4">
      <c r="A387" s="13"/>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row>
    <row r="388" spans="1:30" ht="14.4">
      <c r="A388" s="13"/>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row>
    <row r="389" spans="1:30" ht="14.4">
      <c r="A389" s="13"/>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row>
    <row r="390" spans="1:30" ht="14.4">
      <c r="A390" s="13"/>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row>
    <row r="391" spans="1:30" ht="14.4">
      <c r="A391" s="13"/>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row>
    <row r="392" spans="1:30" ht="14.4">
      <c r="A392" s="13"/>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row>
    <row r="393" spans="1:30" ht="14.4">
      <c r="A393" s="13"/>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row>
    <row r="394" spans="1:30" ht="14.4">
      <c r="A394" s="13"/>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row>
    <row r="395" spans="1:30" ht="14.4">
      <c r="A395" s="13"/>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row>
    <row r="396" spans="1:30" ht="14.4">
      <c r="A396" s="13"/>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row>
    <row r="397" spans="1:30" ht="14.4">
      <c r="A397" s="13"/>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row>
    <row r="398" spans="1:30" ht="14.4">
      <c r="A398" s="13"/>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row>
    <row r="399" spans="1:30" ht="14.4">
      <c r="A399" s="13"/>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row>
    <row r="400" spans="1:30" ht="14.4">
      <c r="A400" s="13"/>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row>
    <row r="401" spans="1:30" ht="14.4">
      <c r="A401" s="13"/>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row>
    <row r="402" spans="1:30" ht="14.4">
      <c r="A402" s="13"/>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row>
    <row r="403" spans="1:30" ht="14.4">
      <c r="A403" s="13"/>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row>
    <row r="404" spans="1:30" ht="14.4">
      <c r="A404" s="13"/>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row>
    <row r="405" spans="1:30" ht="14.4">
      <c r="A405" s="13"/>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row>
    <row r="406" spans="1:30" ht="14.4">
      <c r="A406" s="13"/>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row>
    <row r="407" spans="1:30" ht="14.4">
      <c r="A407" s="13"/>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row>
    <row r="408" spans="1:30" ht="14.4">
      <c r="A408" s="13"/>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row>
    <row r="409" spans="1:30" ht="14.4">
      <c r="A409" s="13"/>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row>
    <row r="410" spans="1:30" ht="14.4">
      <c r="A410" s="13"/>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row>
    <row r="411" spans="1:30" ht="14.4">
      <c r="A411" s="13"/>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row>
    <row r="412" spans="1:30" ht="14.4">
      <c r="A412" s="13"/>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row>
    <row r="413" spans="1:30" ht="14.4">
      <c r="A413" s="13"/>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row>
    <row r="414" spans="1:30" ht="14.4">
      <c r="A414" s="13"/>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row>
    <row r="415" spans="1:30" ht="14.4">
      <c r="A415" s="13"/>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row>
    <row r="416" spans="1:30" ht="14.4">
      <c r="A416" s="13"/>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row>
    <row r="417" spans="1:30" ht="14.4">
      <c r="A417" s="13"/>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row>
    <row r="418" spans="1:30" ht="14.4">
      <c r="A418" s="13"/>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row>
    <row r="419" spans="1:30" ht="14.4">
      <c r="A419" s="13"/>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row>
    <row r="420" spans="1:30" ht="14.4">
      <c r="A420" s="13"/>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row>
    <row r="421" spans="1:30" ht="14.4">
      <c r="A421" s="13"/>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row>
    <row r="422" spans="1:30" ht="14.4">
      <c r="A422" s="13"/>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row>
    <row r="423" spans="1:30" ht="14.4">
      <c r="A423" s="13"/>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row>
    <row r="424" spans="1:30" ht="14.4">
      <c r="A424" s="13"/>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row>
    <row r="425" spans="1:30" ht="14.4">
      <c r="A425" s="13"/>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row>
    <row r="426" spans="1:30" ht="14.4">
      <c r="A426" s="13"/>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row>
    <row r="427" spans="1:30" ht="14.4">
      <c r="A427" s="13"/>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row>
    <row r="428" spans="1:30" ht="14.4">
      <c r="A428" s="13"/>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row>
    <row r="429" spans="1:30" ht="14.4">
      <c r="A429" s="13"/>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row>
    <row r="430" spans="1:30" ht="14.4">
      <c r="A430" s="13"/>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row>
    <row r="431" spans="1:30" ht="14.4">
      <c r="A431" s="13"/>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row>
    <row r="432" spans="1:30" ht="14.4">
      <c r="A432" s="13"/>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row>
    <row r="433" spans="1:30" ht="14.4">
      <c r="A433" s="13"/>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row>
    <row r="434" spans="1:30" ht="14.4">
      <c r="A434" s="13"/>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row>
    <row r="435" spans="1:30" ht="14.4">
      <c r="A435" s="13"/>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row>
    <row r="436" spans="1:30" ht="14.4">
      <c r="A436" s="13"/>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row>
    <row r="437" spans="1:30" ht="14.4">
      <c r="A437" s="13"/>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row>
    <row r="438" spans="1:30" ht="14.4">
      <c r="A438" s="13"/>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row>
    <row r="439" spans="1:30" ht="14.4">
      <c r="A439" s="13"/>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row>
    <row r="440" spans="1:30" ht="14.4">
      <c r="A440" s="13"/>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row>
    <row r="441" spans="1:30" ht="14.4">
      <c r="A441" s="13"/>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row>
    <row r="442" spans="1:30" ht="14.4">
      <c r="A442" s="13"/>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row>
    <row r="443" spans="1:30" ht="14.4">
      <c r="A443" s="13"/>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row>
    <row r="444" spans="1:30" ht="14.4">
      <c r="A444" s="13"/>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row>
    <row r="445" spans="1:30" ht="14.4">
      <c r="A445" s="13"/>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row>
    <row r="446" spans="1:30" ht="14.4">
      <c r="A446" s="13"/>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row>
    <row r="447" spans="1:30" ht="14.4">
      <c r="A447" s="13"/>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row>
    <row r="448" spans="1:30" ht="14.4">
      <c r="A448" s="13"/>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row>
    <row r="449" spans="1:30" ht="14.4">
      <c r="A449" s="13"/>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row>
    <row r="450" spans="1:30" ht="14.4">
      <c r="A450" s="13"/>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row>
    <row r="451" spans="1:30" ht="14.4">
      <c r="A451" s="13"/>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row>
    <row r="452" spans="1:30" ht="14.4">
      <c r="A452" s="13"/>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row>
    <row r="453" spans="1:30" ht="14.4">
      <c r="A453" s="13"/>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row>
    <row r="454" spans="1:30" ht="14.4">
      <c r="A454" s="13"/>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row>
    <row r="455" spans="1:30" ht="14.4">
      <c r="A455" s="13"/>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row>
    <row r="456" spans="1:30" ht="14.4">
      <c r="A456" s="13"/>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row>
    <row r="457" spans="1:30" ht="14.4">
      <c r="A457" s="13"/>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row>
    <row r="458" spans="1:30" ht="14.4">
      <c r="A458" s="13"/>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row>
    <row r="459" spans="1:30" ht="14.4">
      <c r="A459" s="13"/>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row>
    <row r="460" spans="1:30" ht="14.4">
      <c r="A460" s="13"/>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row>
    <row r="461" spans="1:30" ht="14.4">
      <c r="A461" s="13"/>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row>
    <row r="462" spans="1:30" ht="14.4">
      <c r="A462" s="13"/>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row>
    <row r="463" spans="1:30" ht="14.4">
      <c r="A463" s="13"/>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row>
    <row r="464" spans="1:30" ht="14.4">
      <c r="A464" s="13"/>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row>
    <row r="465" spans="1:30" ht="14.4">
      <c r="A465" s="13"/>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row>
    <row r="466" spans="1:30" ht="14.4">
      <c r="A466" s="13"/>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row>
    <row r="467" spans="1:30" ht="14.4">
      <c r="A467" s="13"/>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row>
    <row r="468" spans="1:30" ht="14.4">
      <c r="A468" s="13"/>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row>
    <row r="469" spans="1:30" ht="14.4">
      <c r="A469" s="13"/>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row>
    <row r="470" spans="1:30" ht="14.4">
      <c r="A470" s="13"/>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row>
    <row r="471" spans="1:30" ht="14.4">
      <c r="A471" s="13"/>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row>
    <row r="472" spans="1:30" ht="14.4">
      <c r="A472" s="13"/>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row>
    <row r="473" spans="1:30" ht="14.4">
      <c r="A473" s="13"/>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row>
    <row r="474" spans="1:30" ht="14.4">
      <c r="A474" s="13"/>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row>
    <row r="475" spans="1:30" ht="14.4">
      <c r="A475" s="13"/>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row>
    <row r="476" spans="1:30" ht="14.4">
      <c r="A476" s="13"/>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row>
    <row r="477" spans="1:30" ht="14.4">
      <c r="A477" s="13"/>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row>
    <row r="478" spans="1:30" ht="14.4">
      <c r="A478" s="13"/>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row>
    <row r="479" spans="1:30" ht="14.4">
      <c r="A479" s="13"/>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row>
    <row r="480" spans="1:30" ht="14.4">
      <c r="A480" s="13"/>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row>
    <row r="481" spans="1:30" ht="14.4">
      <c r="A481" s="13"/>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row>
    <row r="482" spans="1:30" ht="14.4">
      <c r="A482" s="13"/>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row>
    <row r="483" spans="1:30" ht="14.4">
      <c r="A483" s="13"/>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row>
    <row r="484" spans="1:30" ht="14.4">
      <c r="A484" s="13"/>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row>
    <row r="485" spans="1:30" ht="14.4">
      <c r="A485" s="13"/>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row>
    <row r="486" spans="1:30" ht="14.4">
      <c r="A486" s="13"/>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row>
    <row r="487" spans="1:30" ht="14.4">
      <c r="A487" s="13"/>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row>
    <row r="488" spans="1:30" ht="14.4">
      <c r="A488" s="13"/>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row>
    <row r="489" spans="1:30" ht="14.4">
      <c r="A489" s="13"/>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row>
    <row r="490" spans="1:30" ht="14.4">
      <c r="A490" s="13"/>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row>
    <row r="491" spans="1:30" ht="14.4">
      <c r="A491" s="13"/>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row>
    <row r="492" spans="1:30" ht="14.4">
      <c r="A492" s="13"/>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row>
    <row r="493" spans="1:30" ht="14.4">
      <c r="A493" s="13"/>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row>
    <row r="494" spans="1:30" ht="14.4">
      <c r="A494" s="13"/>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row>
    <row r="495" spans="1:30" ht="14.4">
      <c r="A495" s="13"/>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row>
    <row r="496" spans="1:30" ht="14.4">
      <c r="A496" s="13"/>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row>
    <row r="497" spans="1:30" ht="14.4">
      <c r="A497" s="13"/>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row>
    <row r="498" spans="1:30" ht="14.4">
      <c r="A498" s="13"/>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row>
    <row r="499" spans="1:30" ht="14.4">
      <c r="A499" s="13"/>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row>
    <row r="500" spans="1:30" ht="14.4">
      <c r="A500" s="13"/>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row>
    <row r="501" spans="1:30" ht="14.4">
      <c r="A501" s="13"/>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row>
    <row r="502" spans="1:30" ht="14.4">
      <c r="A502" s="13"/>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row>
    <row r="503" spans="1:30" ht="14.4">
      <c r="A503" s="13"/>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row>
    <row r="504" spans="1:30" ht="14.4">
      <c r="A504" s="13"/>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row>
    <row r="505" spans="1:30" ht="14.4">
      <c r="A505" s="13"/>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row>
    <row r="506" spans="1:30" ht="14.4">
      <c r="A506" s="13"/>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row>
    <row r="507" spans="1:30" ht="14.4">
      <c r="A507" s="13"/>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row>
    <row r="508" spans="1:30" ht="14.4">
      <c r="A508" s="13"/>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row>
    <row r="509" spans="1:30" ht="14.4">
      <c r="A509" s="13"/>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row>
    <row r="510" spans="1:30" ht="14.4">
      <c r="A510" s="13"/>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row>
    <row r="511" spans="1:30" ht="14.4">
      <c r="A511" s="13"/>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row>
    <row r="512" spans="1:30" ht="14.4">
      <c r="A512" s="13"/>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row>
    <row r="513" spans="1:30" ht="14.4">
      <c r="A513" s="13"/>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row>
    <row r="514" spans="1:30" ht="14.4">
      <c r="A514" s="13"/>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row>
    <row r="515" spans="1:30" ht="14.4">
      <c r="A515" s="13"/>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row>
    <row r="516" spans="1:30" ht="14.4">
      <c r="A516" s="13"/>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row>
    <row r="517" spans="1:30" ht="14.4">
      <c r="A517" s="13"/>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row>
    <row r="518" spans="1:30" ht="14.4">
      <c r="A518" s="13"/>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row>
    <row r="519" spans="1:30" ht="14.4">
      <c r="A519" s="13"/>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row>
    <row r="520" spans="1:30" ht="14.4">
      <c r="A520" s="13"/>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row>
    <row r="521" spans="1:30" ht="14.4">
      <c r="A521" s="13"/>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row>
    <row r="522" spans="1:30" ht="14.4">
      <c r="A522" s="13"/>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row>
    <row r="523" spans="1:30" ht="14.4">
      <c r="A523" s="13"/>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row>
    <row r="524" spans="1:30" ht="14.4">
      <c r="A524" s="13"/>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row>
    <row r="525" spans="1:30" ht="14.4">
      <c r="A525" s="13"/>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row>
    <row r="526" spans="1:30" ht="14.4">
      <c r="A526" s="13"/>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row>
    <row r="527" spans="1:30" ht="14.4">
      <c r="A527" s="13"/>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row>
    <row r="528" spans="1:30" ht="14.4">
      <c r="A528" s="13"/>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row>
    <row r="529" spans="1:30" ht="14.4">
      <c r="A529" s="13"/>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row>
    <row r="530" spans="1:30" ht="14.4">
      <c r="A530" s="13"/>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row>
    <row r="531" spans="1:30" ht="14.4">
      <c r="A531" s="13"/>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row>
    <row r="532" spans="1:30" ht="14.4">
      <c r="A532" s="13"/>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row>
    <row r="533" spans="1:30" ht="14.4">
      <c r="A533" s="13"/>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row>
    <row r="534" spans="1:30" ht="14.4">
      <c r="A534" s="13"/>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row>
    <row r="535" spans="1:30" ht="14.4">
      <c r="A535" s="13"/>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row>
    <row r="536" spans="1:30" ht="14.4">
      <c r="A536" s="13"/>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row>
    <row r="537" spans="1:30" ht="14.4">
      <c r="A537" s="13"/>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row>
    <row r="538" spans="1:30" ht="14.4">
      <c r="A538" s="13"/>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row>
    <row r="539" spans="1:30" ht="14.4">
      <c r="A539" s="13"/>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row>
    <row r="540" spans="1:30" ht="14.4">
      <c r="A540" s="13"/>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row>
    <row r="541" spans="1:30" ht="14.4">
      <c r="A541" s="13"/>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row>
    <row r="542" spans="1:30" ht="14.4">
      <c r="A542" s="13"/>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row>
    <row r="543" spans="1:30" ht="14.4">
      <c r="A543" s="13"/>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row>
    <row r="544" spans="1:30" ht="14.4">
      <c r="A544" s="13"/>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row>
    <row r="545" spans="1:30" ht="14.4">
      <c r="A545" s="13"/>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row>
    <row r="546" spans="1:30" ht="14.4">
      <c r="A546" s="13"/>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row>
    <row r="547" spans="1:30" ht="14.4">
      <c r="A547" s="13"/>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row>
    <row r="548" spans="1:30" ht="14.4">
      <c r="A548" s="13"/>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row>
    <row r="549" spans="1:30" ht="14.4">
      <c r="A549" s="13"/>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row>
    <row r="550" spans="1:30" ht="14.4">
      <c r="A550" s="13"/>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row>
    <row r="551" spans="1:30" ht="14.4">
      <c r="A551" s="13"/>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row>
    <row r="552" spans="1:30" ht="14.4">
      <c r="A552" s="13"/>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row>
    <row r="553" spans="1:30" ht="14.4">
      <c r="A553" s="13"/>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row>
    <row r="554" spans="1:30" ht="14.4">
      <c r="A554" s="13"/>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row>
    <row r="555" spans="1:30" ht="14.4">
      <c r="A555" s="13"/>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row>
    <row r="556" spans="1:30" ht="14.4">
      <c r="A556" s="13"/>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row>
    <row r="557" spans="1:30" ht="14.4">
      <c r="A557" s="13"/>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row>
    <row r="558" spans="1:30" ht="14.4">
      <c r="A558" s="13"/>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row>
    <row r="559" spans="1:30" ht="14.4">
      <c r="A559" s="13"/>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row>
    <row r="560" spans="1:30" ht="14.4">
      <c r="A560" s="13"/>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row>
    <row r="561" spans="1:30" ht="14.4">
      <c r="A561" s="13"/>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row>
    <row r="562" spans="1:30" ht="14.4">
      <c r="A562" s="13"/>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row>
    <row r="563" spans="1:30" ht="14.4">
      <c r="A563" s="13"/>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row>
    <row r="564" spans="1:30" ht="14.4">
      <c r="A564" s="13"/>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row>
    <row r="565" spans="1:30" ht="14.4">
      <c r="A565" s="13"/>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row>
    <row r="566" spans="1:30" ht="14.4">
      <c r="A566" s="13"/>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row>
    <row r="567" spans="1:30" ht="14.4">
      <c r="A567" s="13"/>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row>
    <row r="568" spans="1:30" ht="14.4">
      <c r="A568" s="13"/>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row>
    <row r="569" spans="1:30" ht="14.4">
      <c r="A569" s="13"/>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row>
    <row r="570" spans="1:30" ht="14.4">
      <c r="A570" s="13"/>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row>
    <row r="571" spans="1:30" ht="14.4">
      <c r="A571" s="13"/>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row>
    <row r="572" spans="1:30" ht="14.4">
      <c r="A572" s="13"/>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row>
    <row r="573" spans="1:30" ht="14.4">
      <c r="A573" s="13"/>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row>
    <row r="574" spans="1:30" ht="14.4">
      <c r="A574" s="13"/>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row>
    <row r="575" spans="1:30" ht="14.4">
      <c r="A575" s="13"/>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row>
    <row r="576" spans="1:30" ht="14.4">
      <c r="A576" s="13"/>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row>
    <row r="577" spans="1:30" ht="14.4">
      <c r="A577" s="13"/>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row>
    <row r="578" spans="1:30" ht="14.4">
      <c r="A578" s="13"/>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row>
    <row r="579" spans="1:30" ht="14.4">
      <c r="A579" s="13"/>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row>
    <row r="580" spans="1:30" ht="14.4">
      <c r="A580" s="13"/>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row>
    <row r="581" spans="1:30" ht="14.4">
      <c r="A581" s="13"/>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row>
    <row r="582" spans="1:30" ht="14.4">
      <c r="A582" s="13"/>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row>
    <row r="583" spans="1:30" ht="14.4">
      <c r="A583" s="13"/>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row>
    <row r="584" spans="1:30" ht="14.4">
      <c r="A584" s="13"/>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row>
    <row r="585" spans="1:30" ht="14.4">
      <c r="A585" s="13"/>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row>
    <row r="586" spans="1:30" ht="14.4">
      <c r="A586" s="13"/>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row>
    <row r="587" spans="1:30" ht="14.4">
      <c r="A587" s="13"/>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row>
    <row r="588" spans="1:30" ht="14.4">
      <c r="A588" s="13"/>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row>
    <row r="589" spans="1:30" ht="14.4">
      <c r="A589" s="13"/>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row>
    <row r="590" spans="1:30" ht="14.4">
      <c r="A590" s="13"/>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row>
    <row r="591" spans="1:30" ht="14.4">
      <c r="A591" s="13"/>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row>
    <row r="592" spans="1:30" ht="14.4">
      <c r="A592" s="13"/>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row>
    <row r="593" spans="1:30" ht="14.4">
      <c r="A593" s="13"/>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row>
    <row r="594" spans="1:30" ht="14.4">
      <c r="A594" s="13"/>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row>
    <row r="595" spans="1:30" ht="14.4">
      <c r="A595" s="13"/>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row>
    <row r="596" spans="1:30" ht="14.4">
      <c r="A596" s="13"/>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row>
    <row r="597" spans="1:30" ht="14.4">
      <c r="A597" s="13"/>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row>
    <row r="598" spans="1:30" ht="14.4">
      <c r="A598" s="13"/>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row>
    <row r="599" spans="1:30" ht="14.4">
      <c r="A599" s="13"/>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row>
    <row r="600" spans="1:30" ht="14.4">
      <c r="A600" s="13"/>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row>
    <row r="601" spans="1:30" ht="14.4">
      <c r="A601" s="13"/>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row>
    <row r="602" spans="1:30" ht="14.4">
      <c r="A602" s="13"/>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row>
    <row r="603" spans="1:30" ht="14.4">
      <c r="A603" s="13"/>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row>
    <row r="604" spans="1:30" ht="14.4">
      <c r="A604" s="13"/>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row>
    <row r="605" spans="1:30" ht="14.4">
      <c r="A605" s="13"/>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row>
    <row r="606" spans="1:30" ht="14.4">
      <c r="A606" s="13"/>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row>
    <row r="607" spans="1:30" ht="14.4">
      <c r="A607" s="13"/>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row>
    <row r="608" spans="1:30" ht="14.4">
      <c r="A608" s="13"/>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row>
    <row r="609" spans="1:30" ht="14.4">
      <c r="A609" s="13"/>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row>
    <row r="610" spans="1:30" ht="14.4">
      <c r="A610" s="13"/>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row>
    <row r="611" spans="1:30" ht="14.4">
      <c r="A611" s="13"/>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row>
    <row r="612" spans="1:30" ht="14.4">
      <c r="A612" s="13"/>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row>
    <row r="613" spans="1:30" ht="14.4">
      <c r="A613" s="13"/>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row>
    <row r="614" spans="1:30" ht="14.4">
      <c r="A614" s="13"/>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row>
    <row r="615" spans="1:30" ht="14.4">
      <c r="A615" s="13"/>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row>
    <row r="616" spans="1:30" ht="14.4">
      <c r="A616" s="13"/>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row>
    <row r="617" spans="1:30" ht="14.4">
      <c r="A617" s="13"/>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row>
    <row r="618" spans="1:30" ht="14.4">
      <c r="A618" s="13"/>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row>
    <row r="619" spans="1:30" ht="14.4">
      <c r="A619" s="13"/>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row>
    <row r="620" spans="1:30" ht="14.4">
      <c r="A620" s="13"/>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row>
    <row r="621" spans="1:30" ht="14.4">
      <c r="A621" s="13"/>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row>
    <row r="622" spans="1:30" ht="14.4">
      <c r="A622" s="13"/>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row>
    <row r="623" spans="1:30" ht="14.4">
      <c r="A623" s="13"/>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row>
    <row r="624" spans="1:30" ht="14.4">
      <c r="A624" s="13"/>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row>
    <row r="625" spans="1:30" ht="14.4">
      <c r="A625" s="13"/>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row>
    <row r="626" spans="1:30" ht="14.4">
      <c r="A626" s="13"/>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row>
    <row r="627" spans="1:30" ht="14.4">
      <c r="A627" s="13"/>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row>
    <row r="628" spans="1:30" ht="14.4">
      <c r="A628" s="13"/>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row>
    <row r="629" spans="1:30" ht="14.4">
      <c r="A629" s="13"/>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row>
    <row r="630" spans="1:30" ht="14.4">
      <c r="A630" s="13"/>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row>
    <row r="631" spans="1:30" ht="14.4">
      <c r="A631" s="13"/>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row>
    <row r="632" spans="1:30" ht="14.4">
      <c r="A632" s="13"/>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row>
    <row r="633" spans="1:30" ht="14.4">
      <c r="A633" s="13"/>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row>
    <row r="634" spans="1:30" ht="14.4">
      <c r="A634" s="13"/>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row>
    <row r="635" spans="1:30" ht="14.4">
      <c r="A635" s="13"/>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row>
    <row r="636" spans="1:30" ht="14.4">
      <c r="A636" s="13"/>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row>
    <row r="637" spans="1:30" ht="14.4">
      <c r="A637" s="13"/>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row>
    <row r="638" spans="1:30" ht="14.4">
      <c r="A638" s="13"/>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row>
    <row r="639" spans="1:30" ht="14.4">
      <c r="A639" s="13"/>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row>
    <row r="640" spans="1:30" ht="14.4">
      <c r="A640" s="13"/>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row>
    <row r="641" spans="1:30" ht="14.4">
      <c r="A641" s="13"/>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row>
    <row r="642" spans="1:30" ht="14.4">
      <c r="A642" s="13"/>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row>
    <row r="643" spans="1:30" ht="14.4">
      <c r="A643" s="13"/>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row>
    <row r="644" spans="1:30" ht="14.4">
      <c r="A644" s="13"/>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row>
    <row r="645" spans="1:30" ht="14.4">
      <c r="A645" s="13"/>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row>
    <row r="646" spans="1:30" ht="14.4">
      <c r="A646" s="13"/>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row>
    <row r="647" spans="1:30" ht="14.4">
      <c r="A647" s="13"/>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row>
    <row r="648" spans="1:30" ht="14.4">
      <c r="A648" s="13"/>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row>
    <row r="649" spans="1:30" ht="14.4">
      <c r="A649" s="13"/>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row>
    <row r="650" spans="1:30" ht="14.4">
      <c r="A650" s="13"/>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row>
    <row r="651" spans="1:30" ht="14.4">
      <c r="A651" s="13"/>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row>
    <row r="652" spans="1:30" ht="14.4">
      <c r="A652" s="13"/>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row>
    <row r="653" spans="1:30" ht="14.4">
      <c r="A653" s="13"/>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row>
    <row r="654" spans="1:30" ht="14.4">
      <c r="A654" s="13"/>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row>
    <row r="655" spans="1:30" ht="14.4">
      <c r="A655" s="13"/>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row>
    <row r="656" spans="1:30" ht="14.4">
      <c r="A656" s="13"/>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row>
    <row r="657" spans="1:30" ht="14.4">
      <c r="A657" s="13"/>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row>
    <row r="658" spans="1:30" ht="14.4">
      <c r="A658" s="13"/>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row>
    <row r="659" spans="1:30" ht="14.4">
      <c r="A659" s="13"/>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row>
    <row r="660" spans="1:30" ht="14.4">
      <c r="A660" s="13"/>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row>
    <row r="661" spans="1:30" ht="14.4">
      <c r="A661" s="13"/>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row>
    <row r="662" spans="1:30" ht="14.4">
      <c r="A662" s="13"/>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row>
    <row r="663" spans="1:30" ht="14.4">
      <c r="A663" s="13"/>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row>
    <row r="664" spans="1:30" ht="14.4">
      <c r="A664" s="13"/>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row>
    <row r="665" spans="1:30" ht="14.4">
      <c r="A665" s="13"/>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row>
    <row r="666" spans="1:30" ht="14.4">
      <c r="A666" s="13"/>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row>
    <row r="667" spans="1:30" ht="14.4">
      <c r="A667" s="13"/>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row>
    <row r="668" spans="1:30" ht="14.4">
      <c r="A668" s="13"/>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row>
    <row r="669" spans="1:30" ht="14.4">
      <c r="A669" s="13"/>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row>
    <row r="670" spans="1:30" ht="14.4">
      <c r="A670" s="13"/>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row>
    <row r="671" spans="1:30" ht="14.4">
      <c r="A671" s="13"/>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row>
    <row r="672" spans="1:30" ht="14.4">
      <c r="A672" s="13"/>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row>
    <row r="673" spans="1:30" ht="14.4">
      <c r="A673" s="13"/>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row>
    <row r="674" spans="1:30" ht="14.4">
      <c r="A674" s="13"/>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row>
    <row r="675" spans="1:30" ht="14.4">
      <c r="A675" s="13"/>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row>
    <row r="676" spans="1:30" ht="14.4">
      <c r="A676" s="13"/>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row>
    <row r="677" spans="1:30" ht="14.4">
      <c r="A677" s="13"/>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row>
    <row r="678" spans="1:30" ht="14.4">
      <c r="A678" s="13"/>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row>
    <row r="679" spans="1:30" ht="14.4">
      <c r="A679" s="13"/>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row>
    <row r="680" spans="1:30" ht="14.4">
      <c r="A680" s="13"/>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row>
    <row r="681" spans="1:30" ht="14.4">
      <c r="A681" s="13"/>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row>
    <row r="682" spans="1:30" ht="14.4">
      <c r="A682" s="13"/>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row>
    <row r="683" spans="1:30" ht="14.4">
      <c r="A683" s="13"/>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row>
    <row r="684" spans="1:30" ht="14.4">
      <c r="A684" s="13"/>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row>
    <row r="685" spans="1:30" ht="14.4">
      <c r="A685" s="13"/>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row>
    <row r="686" spans="1:30" ht="14.4">
      <c r="A686" s="13"/>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row>
    <row r="687" spans="1:30" ht="14.4">
      <c r="A687" s="13"/>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row>
    <row r="688" spans="1:30" ht="14.4">
      <c r="A688" s="13"/>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row>
    <row r="689" spans="1:30" ht="14.4">
      <c r="A689" s="13"/>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row>
    <row r="690" spans="1:30" ht="14.4">
      <c r="A690" s="13"/>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row>
    <row r="691" spans="1:30" ht="14.4">
      <c r="A691" s="13"/>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row>
    <row r="692" spans="1:30" ht="14.4">
      <c r="A692" s="13"/>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row>
    <row r="693" spans="1:30" ht="14.4">
      <c r="A693" s="13"/>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row>
    <row r="694" spans="1:30" ht="14.4">
      <c r="A694" s="13"/>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row>
    <row r="695" spans="1:30" ht="14.4">
      <c r="A695" s="13"/>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row>
    <row r="696" spans="1:30" ht="14.4">
      <c r="A696" s="13"/>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row>
    <row r="697" spans="1:30" ht="14.4">
      <c r="A697" s="13"/>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row>
    <row r="698" spans="1:30" ht="14.4">
      <c r="A698" s="13"/>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row>
    <row r="699" spans="1:30" ht="14.4">
      <c r="A699" s="13"/>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row>
    <row r="700" spans="1:30" ht="14.4">
      <c r="A700" s="13"/>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row>
    <row r="701" spans="1:30" ht="14.4">
      <c r="A701" s="13"/>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row>
    <row r="702" spans="1:30" ht="14.4">
      <c r="A702" s="13"/>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row>
    <row r="703" spans="1:30" ht="14.4">
      <c r="A703" s="13"/>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row>
    <row r="704" spans="1:30" ht="14.4">
      <c r="A704" s="13"/>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row>
    <row r="705" spans="1:30" ht="14.4">
      <c r="A705" s="13"/>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row>
    <row r="706" spans="1:30" ht="14.4">
      <c r="A706" s="13"/>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row>
    <row r="707" spans="1:30" ht="14.4">
      <c r="A707" s="13"/>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row>
    <row r="708" spans="1:30" ht="14.4">
      <c r="A708" s="13"/>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row>
    <row r="709" spans="1:30" ht="14.4">
      <c r="A709" s="13"/>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row>
    <row r="710" spans="1:30" ht="14.4">
      <c r="A710" s="13"/>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row>
    <row r="711" spans="1:30" ht="14.4">
      <c r="A711" s="13"/>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row>
    <row r="712" spans="1:30" ht="14.4">
      <c r="A712" s="13"/>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row>
    <row r="713" spans="1:30" ht="14.4">
      <c r="A713" s="13"/>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row>
    <row r="714" spans="1:30" ht="14.4">
      <c r="A714" s="13"/>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row>
    <row r="715" spans="1:30" ht="14.4">
      <c r="A715" s="13"/>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row>
    <row r="716" spans="1:30" ht="14.4">
      <c r="A716" s="13"/>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row>
    <row r="717" spans="1:30" ht="14.4">
      <c r="A717" s="13"/>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row>
    <row r="718" spans="1:30" ht="14.4">
      <c r="A718" s="13"/>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row>
    <row r="719" spans="1:30" ht="14.4">
      <c r="A719" s="13"/>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row>
    <row r="720" spans="1:30" ht="14.4">
      <c r="A720" s="13"/>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row>
    <row r="721" spans="1:30" ht="14.4">
      <c r="A721" s="13"/>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row>
    <row r="722" spans="1:30" ht="14.4">
      <c r="A722" s="13"/>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row>
    <row r="723" spans="1:30" ht="14.4">
      <c r="A723" s="13"/>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row>
    <row r="724" spans="1:30" ht="14.4">
      <c r="A724" s="13"/>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row>
    <row r="725" spans="1:30" ht="14.4">
      <c r="A725" s="13"/>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row>
    <row r="726" spans="1:30" ht="14.4">
      <c r="A726" s="13"/>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row>
    <row r="727" spans="1:30" ht="14.4">
      <c r="A727" s="13"/>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row>
    <row r="728" spans="1:30" ht="14.4">
      <c r="A728" s="13"/>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row>
    <row r="729" spans="1:30" ht="14.4">
      <c r="A729" s="13"/>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row>
    <row r="730" spans="1:30" ht="14.4">
      <c r="A730" s="13"/>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row>
    <row r="731" spans="1:30" ht="14.4">
      <c r="A731" s="13"/>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row>
    <row r="732" spans="1:30" ht="14.4">
      <c r="A732" s="13"/>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row>
    <row r="733" spans="1:30" ht="14.4">
      <c r="A733" s="13"/>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row>
    <row r="734" spans="1:30" ht="14.4">
      <c r="A734" s="13"/>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row>
    <row r="735" spans="1:30" ht="14.4">
      <c r="A735" s="13"/>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row>
    <row r="736" spans="1:30" ht="14.4">
      <c r="A736" s="13"/>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row>
    <row r="737" spans="1:30" ht="14.4">
      <c r="A737" s="13"/>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row>
    <row r="738" spans="1:30" ht="14.4">
      <c r="A738" s="13"/>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row>
    <row r="739" spans="1:30" ht="14.4">
      <c r="A739" s="13"/>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row>
    <row r="740" spans="1:30" ht="14.4">
      <c r="A740" s="13"/>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row>
    <row r="741" spans="1:30" ht="14.4">
      <c r="A741" s="13"/>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row>
    <row r="742" spans="1:30" ht="14.4">
      <c r="A742" s="13"/>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row>
    <row r="743" spans="1:30" ht="14.4">
      <c r="A743" s="13"/>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row>
    <row r="744" spans="1:30" ht="14.4">
      <c r="A744" s="13"/>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row>
    <row r="745" spans="1:30" ht="14.4">
      <c r="A745" s="13"/>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row>
    <row r="746" spans="1:30" ht="14.4">
      <c r="A746" s="13"/>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row>
    <row r="747" spans="1:30" ht="14.4">
      <c r="A747" s="13"/>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row>
    <row r="748" spans="1:30" ht="14.4">
      <c r="A748" s="13"/>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row>
    <row r="749" spans="1:30" ht="14.4">
      <c r="A749" s="13"/>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row>
    <row r="750" spans="1:30" ht="14.4">
      <c r="A750" s="13"/>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row>
    <row r="751" spans="1:30" ht="14.4">
      <c r="A751" s="13"/>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row>
    <row r="752" spans="1:30" ht="14.4">
      <c r="A752" s="13"/>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row>
    <row r="753" spans="1:30" ht="14.4">
      <c r="A753" s="13"/>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row>
    <row r="754" spans="1:30" ht="14.4">
      <c r="A754" s="13"/>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row>
    <row r="755" spans="1:30" ht="14.4">
      <c r="A755" s="13"/>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row>
    <row r="756" spans="1:30" ht="14.4">
      <c r="A756" s="13"/>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row>
    <row r="757" spans="1:30" ht="14.4">
      <c r="A757" s="13"/>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row>
    <row r="758" spans="1:30" ht="14.4">
      <c r="A758" s="13"/>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row>
    <row r="759" spans="1:30" ht="14.4">
      <c r="A759" s="13"/>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row>
    <row r="760" spans="1:30" ht="14.4">
      <c r="A760" s="13"/>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row>
    <row r="761" spans="1:30" ht="14.4">
      <c r="A761" s="13"/>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row>
    <row r="762" spans="1:30" ht="14.4">
      <c r="A762" s="13"/>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row>
    <row r="763" spans="1:30" ht="14.4">
      <c r="A763" s="13"/>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row>
    <row r="764" spans="1:30" ht="14.4">
      <c r="A764" s="13"/>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row>
    <row r="765" spans="1:30" ht="14.4">
      <c r="A765" s="13"/>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row>
    <row r="766" spans="1:30" ht="14.4">
      <c r="A766" s="13"/>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row>
    <row r="767" spans="1:30" ht="14.4">
      <c r="A767" s="13"/>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row>
    <row r="768" spans="1:30" ht="14.4">
      <c r="A768" s="13"/>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row>
    <row r="769" spans="1:30" ht="14.4">
      <c r="A769" s="13"/>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row>
    <row r="770" spans="1:30" ht="14.4">
      <c r="A770" s="13"/>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row>
    <row r="771" spans="1:30" ht="14.4">
      <c r="A771" s="13"/>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row>
    <row r="772" spans="1:30" ht="14.4">
      <c r="A772" s="13"/>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row>
    <row r="773" spans="1:30" ht="14.4">
      <c r="A773" s="13"/>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row>
    <row r="774" spans="1:30" ht="14.4">
      <c r="A774" s="13"/>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row>
    <row r="775" spans="1:30" ht="14.4">
      <c r="A775" s="13"/>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row>
    <row r="776" spans="1:30" ht="14.4">
      <c r="A776" s="13"/>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row>
    <row r="777" spans="1:30" ht="14.4">
      <c r="A777" s="13"/>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row>
    <row r="778" spans="1:30" ht="14.4">
      <c r="A778" s="13"/>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row>
    <row r="779" spans="1:30" ht="14.4">
      <c r="A779" s="13"/>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row>
    <row r="780" spans="1:30" ht="14.4">
      <c r="A780" s="13"/>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row>
    <row r="781" spans="1:30" ht="14.4">
      <c r="A781" s="13"/>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row>
    <row r="782" spans="1:30" ht="14.4">
      <c r="A782" s="13"/>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row>
    <row r="783" spans="1:30" ht="14.4">
      <c r="A783" s="13"/>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row>
    <row r="784" spans="1:30" ht="14.4">
      <c r="A784" s="13"/>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row>
    <row r="785" spans="1:30" ht="14.4">
      <c r="A785" s="13"/>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row>
    <row r="786" spans="1:30" ht="14.4">
      <c r="A786" s="13"/>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row>
    <row r="787" spans="1:30" ht="14.4">
      <c r="A787" s="13"/>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row>
    <row r="788" spans="1:30" ht="14.4">
      <c r="A788" s="13"/>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row>
    <row r="789" spans="1:30" ht="14.4">
      <c r="A789" s="13"/>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row>
    <row r="790" spans="1:30" ht="14.4">
      <c r="A790" s="13"/>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row>
    <row r="791" spans="1:30" ht="14.4">
      <c r="A791" s="13"/>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row>
    <row r="792" spans="1:30" ht="14.4">
      <c r="A792" s="13"/>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row>
    <row r="793" spans="1:30" ht="14.4">
      <c r="A793" s="13"/>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row>
    <row r="794" spans="1:30" ht="14.4">
      <c r="A794" s="13"/>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row>
    <row r="795" spans="1:30" ht="14.4">
      <c r="A795" s="13"/>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row>
    <row r="796" spans="1:30" ht="14.4">
      <c r="A796" s="13"/>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row>
    <row r="797" spans="1:30" ht="14.4">
      <c r="A797" s="13"/>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row>
    <row r="798" spans="1:30" ht="14.4">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row>
    <row r="799" spans="1:30" ht="14.4">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row>
    <row r="800" spans="1:30" ht="14.4">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row>
    <row r="801" spans="2:30" ht="14.4">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row>
    <row r="802" spans="2:30" ht="14.4">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row>
    <row r="803" spans="2:30" ht="14.4">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row>
    <row r="804" spans="2:30" ht="14.4">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row>
    <row r="805" spans="2:30" ht="14.4">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row>
    <row r="806" spans="2:30" ht="14.4">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row>
    <row r="807" spans="2:30" ht="14.4">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row>
    <row r="808" spans="2:30" ht="14.4">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row>
    <row r="809" spans="2:30" ht="14.4">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row>
    <row r="810" spans="2:30" ht="14.4">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row>
    <row r="811" spans="2:30" ht="14.4">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row>
    <row r="812" spans="2:30" ht="14.4">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row>
    <row r="813" spans="2:30" ht="14.4">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row>
    <row r="814" spans="2:30" ht="14.4">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row>
    <row r="815" spans="2:30" ht="14.4">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row>
    <row r="816" spans="2:30" ht="14.4">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row>
    <row r="817" spans="2:30" ht="14.4">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row>
    <row r="818" spans="2:30" ht="14.4">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row>
    <row r="819" spans="2:30" ht="14.4">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row>
    <row r="820" spans="2:30" ht="14.4">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row>
    <row r="821" spans="2:30" ht="14.4">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row>
    <row r="822" spans="2:30" ht="14.4">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row>
    <row r="823" spans="2:30" ht="14.4">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row>
    <row r="824" spans="2:30" ht="14.4">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row>
    <row r="825" spans="2:30" ht="14.4">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row>
    <row r="826" spans="2:30" ht="14.4">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row>
    <row r="827" spans="2:30" ht="14.4">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row>
    <row r="828" spans="2:30" ht="14.4">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row>
    <row r="829" spans="2:30" ht="14.4">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row>
    <row r="830" spans="2:30" ht="14.4">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row>
    <row r="831" spans="2:30" ht="14.4">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row>
    <row r="832" spans="2:30" ht="14.4">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row>
    <row r="833" spans="2:30" ht="14.4">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row>
    <row r="834" spans="2:30" ht="14.4">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row>
    <row r="835" spans="2:30" ht="14.4">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row>
    <row r="836" spans="2:30" ht="14.4">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row>
    <row r="837" spans="2:30" ht="14.4">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row>
    <row r="838" spans="2:30" ht="14.4">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row>
    <row r="839" spans="2:30" ht="14.4">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row>
    <row r="840" spans="2:30" ht="14.4">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row>
    <row r="841" spans="2:30" ht="14.4">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row>
    <row r="842" spans="2:30" ht="14.4">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row>
    <row r="843" spans="2:30" ht="14.4">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row>
    <row r="844" spans="2:30" ht="14.4">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row>
    <row r="845" spans="2:30" ht="14.4">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row>
    <row r="846" spans="2:30" ht="14.4">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row>
    <row r="847" spans="2:30" ht="14.4">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row>
    <row r="848" spans="2:30" ht="14.4">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row>
    <row r="849" spans="2:30" ht="14.4">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row>
    <row r="850" spans="2:30" ht="14.4">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row>
    <row r="851" spans="2:30" ht="14.4">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row>
    <row r="852" spans="2:30" ht="14.4">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row>
    <row r="853" spans="2:30" ht="14.4">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row>
    <row r="854" spans="2:30" ht="14.4">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row>
    <row r="855" spans="2:30" ht="14.4">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row>
    <row r="856" spans="2:30" ht="14.4">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row>
    <row r="857" spans="2:30" ht="14.4">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row>
    <row r="858" spans="2:30" ht="14.4">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row>
    <row r="859" spans="2:30" ht="14.4">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row>
    <row r="860" spans="2:30" ht="14.4">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row>
    <row r="861" spans="2:30" ht="14.4">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row>
    <row r="862" spans="2:30" ht="14.4">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row>
    <row r="863" spans="2:30" ht="14.4">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row>
    <row r="864" spans="2:30" ht="14.4">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row>
    <row r="865" spans="2:30" ht="14.4">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row>
    <row r="866" spans="2:30" ht="14.4">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row>
    <row r="867" spans="2:30" ht="14.4">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row>
    <row r="868" spans="2:30" ht="14.4">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row>
    <row r="869" spans="2:30" ht="14.4">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row>
    <row r="870" spans="2:30" ht="14.4">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row>
    <row r="871" spans="2:30" ht="14.4">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row>
    <row r="872" spans="2:30" ht="14.4">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row>
    <row r="873" spans="2:30" ht="14.4">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row>
    <row r="874" spans="2:30" ht="14.4">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row>
    <row r="875" spans="2:30" ht="14.4">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row>
    <row r="876" spans="2:30" ht="14.4">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row>
    <row r="877" spans="2:30" ht="14.4">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row>
    <row r="878" spans="2:30" ht="14.4">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row>
    <row r="879" spans="2:30" ht="14.4">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row>
    <row r="880" spans="2:30" ht="14.4">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row>
    <row r="881" spans="2:30" ht="14.4">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row>
    <row r="882" spans="2:30" ht="14.4">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row>
    <row r="883" spans="2:30" ht="14.4">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row>
    <row r="884" spans="2:30" ht="14.4">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row>
    <row r="885" spans="2:30" ht="14.4">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row>
    <row r="886" spans="2:30" ht="14.4">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row>
    <row r="887" spans="2:30" ht="14.4">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row>
    <row r="888" spans="2:30" ht="14.4">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row>
    <row r="889" spans="2:30" ht="14.4">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row>
    <row r="890" spans="2:30" ht="14.4">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row>
    <row r="891" spans="2:30" ht="14.4">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row>
    <row r="892" spans="2:30" ht="14.4">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row>
    <row r="893" spans="2:30" ht="14.4">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row>
    <row r="894" spans="2:30" ht="14.4">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row>
    <row r="895" spans="2:30" ht="14.4">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row>
    <row r="896" spans="2:30" ht="14.4">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row>
    <row r="897" spans="2:30" ht="14.4">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row>
    <row r="898" spans="2:30" ht="14.4">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row>
    <row r="899" spans="2:30" ht="14.4">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row>
    <row r="900" spans="2:30" ht="14.4">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row>
    <row r="901" spans="2:30" ht="14.4">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row>
    <row r="902" spans="2:30" ht="14.4">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row>
    <row r="903" spans="2:30" ht="14.4">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row>
    <row r="904" spans="2:30" ht="14.4">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row>
    <row r="905" spans="2:30" ht="14.4">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row>
    <row r="906" spans="2:30" ht="14.4">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row>
    <row r="907" spans="2:30" ht="14.4">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row>
    <row r="908" spans="2:30" ht="14.4">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row>
    <row r="909" spans="2:30" ht="14.4">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row>
    <row r="910" spans="2:30" ht="14.4">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row>
    <row r="911" spans="2:30" ht="14.4">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row>
    <row r="912" spans="2:30" ht="14.4">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row>
    <row r="913" spans="2:30" ht="14.4">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row>
    <row r="914" spans="2:30" ht="14.4">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row>
    <row r="915" spans="2:30" ht="14.4">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row>
    <row r="916" spans="2:30" ht="14.4">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row>
    <row r="917" spans="2:30" ht="14.4">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row>
    <row r="918" spans="2:30" ht="14.4">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row>
    <row r="919" spans="2:30" ht="14.4">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row>
    <row r="920" spans="2:30" ht="14.4">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row>
    <row r="921" spans="2:30" ht="14.4">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row>
    <row r="922" spans="2:30" ht="14.4">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row>
    <row r="923" spans="2:30" ht="14.4">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row>
    <row r="924" spans="2:30" ht="14.4">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row>
    <row r="925" spans="2:30" ht="14.4">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row>
    <row r="926" spans="2:30" ht="14.4">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row>
    <row r="927" spans="2:30" ht="14.4">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row>
    <row r="928" spans="2:30" ht="14.4">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row>
    <row r="929" spans="2:30" ht="14.4">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row>
    <row r="930" spans="2:30" ht="14.4">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row>
    <row r="931" spans="2:30" ht="14.4">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row>
    <row r="932" spans="2:30" ht="14.4">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row>
    <row r="933" spans="2:30" ht="14.4">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row>
    <row r="934" spans="2:30" ht="14.4">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row>
    <row r="935" spans="2:30" ht="14.4">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row>
    <row r="936" spans="2:30" ht="14.4">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row>
    <row r="937" spans="2:30" ht="14.4">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row>
    <row r="938" spans="2:30" ht="14.4">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row>
    <row r="939" spans="2:30" ht="14.4">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row>
    <row r="940" spans="2:30" ht="14.4">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row>
    <row r="941" spans="2:30" ht="14.4">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row>
    <row r="942" spans="2:30" ht="14.4">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row>
    <row r="943" spans="2:30" ht="14.4">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row>
    <row r="944" spans="2:30" ht="14.4">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row>
    <row r="945" spans="2:30" ht="14.4">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row>
    <row r="946" spans="2:30" ht="14.4">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row>
    <row r="947" spans="2:30" ht="14.4">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row>
    <row r="948" spans="2:30" ht="14.4">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row>
    <row r="949" spans="2:30" ht="14.4">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row>
    <row r="950" spans="2:30" ht="14.4">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row>
    <row r="951" spans="2:30" ht="14.4">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row>
    <row r="952" spans="2:30" ht="14.4">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row>
    <row r="953" spans="2:30" ht="14.4">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row>
    <row r="954" spans="2:30" ht="14.4">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row>
    <row r="955" spans="2:30" ht="14.4">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row>
    <row r="956" spans="2:30" ht="14.4">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row>
    <row r="957" spans="2:30" ht="14.4">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row>
    <row r="958" spans="2:30" ht="14.4">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row>
    <row r="959" spans="2:30" ht="14.4">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row>
    <row r="960" spans="2:30" ht="14.4">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row>
    <row r="961" spans="2:30" ht="14.4">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row>
    <row r="962" spans="2:30" ht="14.4">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row>
    <row r="963" spans="2:30" ht="14.4">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row>
    <row r="964" spans="2:30" ht="14.4">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row>
    <row r="965" spans="2:30" ht="14.4">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row>
    <row r="966" spans="2:30" ht="14.4">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row>
    <row r="967" spans="2:30" ht="14.4">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row>
    <row r="968" spans="2:30" ht="14.4">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row>
    <row r="969" spans="2:30" ht="14.4">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row>
    <row r="970" spans="2:30" ht="14.4">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row>
    <row r="971" spans="2:30" ht="14.4">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row>
    <row r="972" spans="2:30" ht="14.4">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row>
    <row r="973" spans="2:30" ht="14.4">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row>
    <row r="974" spans="2:30" ht="14.4">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row>
    <row r="975" spans="2:30" ht="14.4">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row>
    <row r="976" spans="2:30" ht="14.4">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row>
    <row r="977" spans="2:30" ht="14.4">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row>
    <row r="978" spans="2:30" ht="14.4">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row>
    <row r="979" spans="2:30" ht="14.4">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row>
    <row r="980" spans="2:30" ht="14.4">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row>
    <row r="981" spans="2:30" ht="14.4">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row>
    <row r="982" spans="2:30" ht="14.4">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row>
    <row r="983" spans="2:30" ht="14.4">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row>
    <row r="984" spans="2:30" ht="14.4">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row>
    <row r="985" spans="2:30" ht="14.4">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row>
    <row r="986" spans="2:30" ht="14.4">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row>
    <row r="987" spans="2:30" ht="14.4">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row>
    <row r="988" spans="2:30" ht="14.4">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row>
    <row r="989" spans="2:30" ht="14.4">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row>
    <row r="990" spans="2:30" ht="14.4">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row>
    <row r="991" spans="2:30" ht="14.4">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row>
    <row r="992" spans="2:30" ht="14.4">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row>
    <row r="993" spans="2:30" ht="14.4">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row>
    <row r="994" spans="2:30" ht="14.4">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row>
    <row r="995" spans="2:30" ht="14.4">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row>
    <row r="996" spans="2:30" ht="14.4">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row>
    <row r="997" spans="2:30" ht="14.4">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row>
    <row r="998" spans="2:30" ht="14.4">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row>
    <row r="999" spans="2:30" ht="14.4">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row>
    <row r="1000" spans="2:30" ht="14.4">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row>
    <row r="1001" spans="2:30" ht="14.4">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row>
    <row r="1002" spans="2:30" ht="14.4">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row>
    <row r="1003" spans="2:30" ht="14.4">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row>
    <row r="1004" spans="2:30" ht="14.4">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row>
    <row r="1005" spans="2:30" ht="14.4">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row>
    <row r="1006" spans="2:30" ht="14.4">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row>
    <row r="1007" spans="2:30" ht="14.4">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row>
    <row r="1008" spans="2:30" ht="14.4">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row>
    <row r="1009" spans="2:30" ht="14.4">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row>
    <row r="1010" spans="2:30" ht="14.4">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row>
    <row r="1011" spans="2:30" ht="14.4">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row>
    <row r="1012" spans="2:30" ht="14.4">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row>
    <row r="1013" spans="2:30" ht="14.4">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row>
    <row r="1014" spans="2:30" ht="14.4">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row>
    <row r="1015" spans="2:30" ht="14.4">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row>
    <row r="1016" spans="2:30" ht="14.4">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row>
    <row r="1017" spans="2:30" ht="14.4">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row>
    <row r="1018" spans="2:30" ht="14.4">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row>
    <row r="1019" spans="2:30" ht="14.4">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row>
    <row r="1020" spans="2:30" ht="14.4">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row>
    <row r="1021" spans="2:30" ht="14.4">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row>
    <row r="1022" spans="2:30" ht="14.4">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row>
    <row r="1023" spans="2:30" ht="14.4">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row>
    <row r="1024" spans="2:30" ht="14.4">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row>
    <row r="1025" spans="2:30" ht="14.4">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row>
    <row r="1026" spans="2:30" ht="14.4">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row>
    <row r="1027" spans="2:30" ht="14.4">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row>
    <row r="1028" spans="2:30" ht="14.4">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row>
    <row r="1029" spans="2:30" ht="14.4">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row>
    <row r="1030" spans="2:30" ht="14.4">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row>
    <row r="1031" spans="2:30" ht="14.4">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row>
    <row r="1032" spans="2:30" ht="14.4">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row>
    <row r="1033" spans="2:30" ht="14.4">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row>
    <row r="1034" spans="2:30" ht="14.4">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row>
    <row r="1035" spans="2:30" ht="14.4">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row>
    <row r="1036" spans="2:30" ht="14.4">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row>
    <row r="1037" spans="2:30" ht="14.4">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row>
    <row r="1038" spans="2:30" ht="14.4">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row>
    <row r="1039" spans="2:30" ht="14.4">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row>
    <row r="1040" spans="2:30" ht="14.4">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row>
    <row r="1041" spans="2:30" ht="14.4">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row>
    <row r="1042" spans="2:30" ht="14.4">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row>
    <row r="1043" spans="2:30" ht="14.4">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row>
    <row r="1044" spans="2:30" ht="14.4">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row>
    <row r="1045" spans="2:30" ht="14.4">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row>
    <row r="1046" spans="2:30" ht="14.4">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row>
    <row r="1047" spans="2:30" ht="14.4">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row>
    <row r="1048" spans="2:30" ht="14.4">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row>
    <row r="1049" spans="2:30" ht="14.4">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row>
    <row r="1050" spans="2:30" ht="14.4">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row>
    <row r="1051" spans="2:30" ht="14.4">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row>
  </sheetData>
  <conditionalFormatting sqref="D30:D34">
    <cfRule type="expression" dxfId="22" priority="2">
      <formula>COUNTIF(E:E,E30)&gt;1</formula>
    </cfRule>
  </conditionalFormatting>
  <conditionalFormatting sqref="D36:D39">
    <cfRule type="expression" dxfId="21" priority="1">
      <formula>COUNTIF(E:E,E36)&gt;1</formula>
    </cfRule>
  </conditionalFormatting>
  <conditionalFormatting sqref="G1 D17:D24 D26:D28">
    <cfRule type="expression" dxfId="18" priority="8">
      <formula>COUNTIF(E:E,E1)&gt;1</formula>
    </cfRule>
  </conditionalFormatting>
  <dataValidations count="1">
    <dataValidation type="list" allowBlank="1" showErrorMessage="1" sqref="F2:F3 F5:F13 F15:F20 F22:F25 F27 F31:F32" xr:uid="{00000000-0002-0000-04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39"/>
  <sheetViews>
    <sheetView topLeftCell="C1" workbookViewId="0">
      <pane ySplit="1" topLeftCell="A2" activePane="bottomLeft" state="frozen"/>
      <selection pane="bottomLeft" activeCell="K8" sqref="K8"/>
    </sheetView>
  </sheetViews>
  <sheetFormatPr defaultColWidth="12.6640625" defaultRowHeight="15.75" customHeight="1"/>
  <cols>
    <col min="1" max="1" width="37" customWidth="1"/>
    <col min="2" max="2" width="76.77734375" customWidth="1"/>
    <col min="3" max="3" width="25.21875" customWidth="1"/>
    <col min="4" max="4" width="25.77734375" customWidth="1"/>
    <col min="5" max="5" width="6.6640625" customWidth="1"/>
    <col min="6" max="6" width="6.77734375" customWidth="1"/>
    <col min="7" max="7" width="15.44140625" customWidth="1"/>
    <col min="8" max="8" width="25.44140625" customWidth="1"/>
    <col min="9" max="9" width="7.6640625" customWidth="1"/>
  </cols>
  <sheetData>
    <row r="1" spans="1:29" s="21" customFormat="1" ht="13.2">
      <c r="A1" s="67" t="s">
        <v>39</v>
      </c>
      <c r="B1" s="68" t="s">
        <v>1</v>
      </c>
      <c r="C1" s="68" t="s">
        <v>4</v>
      </c>
      <c r="D1" s="68" t="s">
        <v>5</v>
      </c>
      <c r="E1" s="68" t="s">
        <v>2</v>
      </c>
      <c r="F1" s="69" t="s">
        <v>40</v>
      </c>
      <c r="G1" s="68" t="s">
        <v>3</v>
      </c>
      <c r="H1" s="68" t="s">
        <v>6</v>
      </c>
      <c r="I1" s="68" t="s">
        <v>7</v>
      </c>
      <c r="J1" s="70"/>
      <c r="K1" s="70"/>
      <c r="L1" s="70"/>
      <c r="M1" s="70"/>
      <c r="N1" s="70"/>
      <c r="O1" s="70"/>
      <c r="P1" s="70"/>
      <c r="Q1" s="70"/>
      <c r="R1" s="70"/>
      <c r="S1" s="70"/>
      <c r="T1" s="70"/>
      <c r="U1" s="70"/>
      <c r="V1" s="70"/>
      <c r="W1" s="70"/>
      <c r="X1" s="70"/>
      <c r="Y1" s="70"/>
      <c r="Z1" s="70"/>
      <c r="AA1" s="70"/>
      <c r="AB1" s="70"/>
      <c r="AC1" s="70"/>
    </row>
    <row r="2" spans="1:29" ht="15.75" customHeight="1">
      <c r="A2" s="58" t="s">
        <v>299</v>
      </c>
      <c r="B2" s="81" t="s">
        <v>465</v>
      </c>
      <c r="C2" s="15" t="s">
        <v>484</v>
      </c>
      <c r="D2" s="15" t="s">
        <v>485</v>
      </c>
      <c r="E2" s="82" t="str">
        <f>IF(D2&lt;&gt;"","ACM"&amp;COUNTIF($D$2:D2,"&lt;&gt;"),"")</f>
        <v>ACM1</v>
      </c>
      <c r="F2" s="12"/>
      <c r="G2" s="60" t="str">
        <f>HYPERLINK("https://doi.org/" &amp; P2, "https://doi.org/" &amp; P2)</f>
        <v>https://doi.org/10.1145/3636534.3697459</v>
      </c>
      <c r="H2" s="15" t="s">
        <v>486</v>
      </c>
      <c r="I2" s="59">
        <v>2024</v>
      </c>
      <c r="J2" s="15"/>
      <c r="K2" s="15"/>
      <c r="L2" s="15"/>
      <c r="M2" s="15"/>
      <c r="N2" s="15"/>
      <c r="O2" s="15"/>
      <c r="P2" s="59" t="s">
        <v>466</v>
      </c>
      <c r="Q2" s="15"/>
      <c r="R2" s="15"/>
      <c r="S2" s="15"/>
      <c r="T2" s="15"/>
      <c r="U2" s="15"/>
      <c r="V2" s="15"/>
      <c r="W2" s="15"/>
      <c r="X2" s="15"/>
      <c r="Y2" s="15"/>
      <c r="Z2" s="15"/>
      <c r="AA2" s="15"/>
      <c r="AB2" s="15"/>
      <c r="AC2" s="15"/>
    </row>
    <row r="3" spans="1:29" ht="13.2">
      <c r="A3" s="58"/>
      <c r="B3" s="59" t="s">
        <v>467</v>
      </c>
      <c r="C3" s="15" t="s">
        <v>487</v>
      </c>
      <c r="D3" s="15" t="s">
        <v>488</v>
      </c>
      <c r="E3" s="82" t="str">
        <f>IF(D3&lt;&gt;"","ACM"&amp;COUNTIF($D$2:D3,"&lt;&gt;"),"")</f>
        <v>ACM2</v>
      </c>
      <c r="F3" s="12"/>
      <c r="G3" s="60" t="str">
        <f t="shared" ref="G3:G10" si="0">HYPERLINK("https://doi.org/" &amp; P3, "https://doi.org/" &amp; P3)</f>
        <v>https://doi.org/10.1145/3472669</v>
      </c>
      <c r="H3" s="15" t="s">
        <v>489</v>
      </c>
      <c r="I3" s="59">
        <v>2022</v>
      </c>
      <c r="J3" s="15"/>
      <c r="K3" s="15"/>
      <c r="L3" s="15"/>
      <c r="M3" s="15"/>
      <c r="N3" s="15"/>
      <c r="O3" s="15"/>
      <c r="P3" s="59" t="s">
        <v>468</v>
      </c>
      <c r="Q3" s="15"/>
      <c r="R3" s="15"/>
      <c r="S3" s="15"/>
      <c r="T3" s="15"/>
      <c r="U3" s="15"/>
      <c r="V3" s="15"/>
      <c r="W3" s="15"/>
      <c r="X3" s="15"/>
      <c r="Y3" s="15"/>
      <c r="Z3" s="15"/>
      <c r="AA3" s="15"/>
      <c r="AB3" s="15"/>
      <c r="AC3" s="15"/>
    </row>
    <row r="4" spans="1:29" ht="13.2">
      <c r="A4" s="58"/>
      <c r="B4" s="59" t="s">
        <v>469</v>
      </c>
      <c r="C4" s="15" t="s">
        <v>490</v>
      </c>
      <c r="D4" s="15" t="s">
        <v>491</v>
      </c>
      <c r="E4" s="82" t="str">
        <f>IF(D4&lt;&gt;"","ACM"&amp;COUNTIF($D$2:D4,"&lt;&gt;"),"")</f>
        <v>ACM3</v>
      </c>
      <c r="F4" s="12"/>
      <c r="G4" s="60" t="str">
        <f t="shared" si="0"/>
        <v>https://doi.org/10.1145/3742789</v>
      </c>
      <c r="H4" s="15" t="s">
        <v>492</v>
      </c>
      <c r="I4" s="59">
        <v>2025</v>
      </c>
      <c r="J4" s="15"/>
      <c r="K4" s="15"/>
      <c r="L4" s="15"/>
      <c r="M4" s="15"/>
      <c r="N4" s="15"/>
      <c r="O4" s="15"/>
      <c r="P4" s="59" t="s">
        <v>470</v>
      </c>
      <c r="Q4" s="15"/>
      <c r="R4" s="15"/>
      <c r="S4" s="15"/>
      <c r="T4" s="15"/>
      <c r="U4" s="15"/>
      <c r="V4" s="15"/>
      <c r="W4" s="15"/>
      <c r="X4" s="15"/>
      <c r="Y4" s="15"/>
      <c r="Z4" s="15"/>
      <c r="AA4" s="15"/>
      <c r="AB4" s="15"/>
      <c r="AC4" s="15"/>
    </row>
    <row r="5" spans="1:29" ht="13.2">
      <c r="A5" s="58"/>
      <c r="B5" s="59" t="s">
        <v>471</v>
      </c>
      <c r="C5" s="15" t="s">
        <v>493</v>
      </c>
      <c r="D5" s="15" t="s">
        <v>494</v>
      </c>
      <c r="E5" s="82" t="str">
        <f>IF(D5&lt;&gt;"","ACM"&amp;COUNTIF($D$2:D5,"&lt;&gt;"),"")</f>
        <v>ACM4</v>
      </c>
      <c r="F5" s="12"/>
      <c r="G5" s="60" t="str">
        <f t="shared" si="0"/>
        <v>https://doi.org/10.1145/3503161.3548766</v>
      </c>
      <c r="H5" s="15" t="s">
        <v>495</v>
      </c>
      <c r="I5" s="59">
        <v>2022</v>
      </c>
      <c r="J5" s="15"/>
      <c r="K5" s="15"/>
      <c r="L5" s="15"/>
      <c r="M5" s="15"/>
      <c r="N5" s="15"/>
      <c r="O5" s="15"/>
      <c r="P5" s="59" t="s">
        <v>472</v>
      </c>
      <c r="Q5" s="15"/>
      <c r="R5" s="15"/>
      <c r="S5" s="15"/>
      <c r="T5" s="15"/>
      <c r="U5" s="15"/>
      <c r="V5" s="15"/>
      <c r="W5" s="15"/>
      <c r="X5" s="15"/>
      <c r="Y5" s="15"/>
      <c r="Z5" s="15"/>
      <c r="AA5" s="15"/>
      <c r="AB5" s="15"/>
      <c r="AC5" s="15"/>
    </row>
    <row r="6" spans="1:29" ht="13.2">
      <c r="A6" s="58"/>
      <c r="B6" s="59" t="s">
        <v>473</v>
      </c>
      <c r="C6" s="15" t="s">
        <v>496</v>
      </c>
      <c r="D6" s="15" t="s">
        <v>497</v>
      </c>
      <c r="E6" s="82" t="str">
        <f>IF(D6&lt;&gt;"","ACM"&amp;COUNTIF($D$2:D6,"&lt;&gt;"),"")</f>
        <v>ACM5</v>
      </c>
      <c r="F6" s="12"/>
      <c r="G6" s="60" t="str">
        <f t="shared" si="0"/>
        <v>https://doi.org/10.1145/3632366.3632388</v>
      </c>
      <c r="H6" s="15" t="s">
        <v>498</v>
      </c>
      <c r="I6" s="59">
        <v>2024</v>
      </c>
      <c r="J6" s="15"/>
      <c r="K6" s="15"/>
      <c r="L6" s="15"/>
      <c r="M6" s="15"/>
      <c r="N6" s="15"/>
      <c r="O6" s="15"/>
      <c r="P6" s="59" t="s">
        <v>474</v>
      </c>
      <c r="Q6" s="15"/>
      <c r="R6" s="15"/>
      <c r="S6" s="15"/>
      <c r="T6" s="15"/>
      <c r="U6" s="15"/>
      <c r="V6" s="15"/>
      <c r="W6" s="15"/>
      <c r="X6" s="15"/>
      <c r="Y6" s="15"/>
      <c r="Z6" s="15"/>
      <c r="AA6" s="15"/>
      <c r="AB6" s="15"/>
      <c r="AC6" s="15"/>
    </row>
    <row r="7" spans="1:29" ht="13.2">
      <c r="A7" s="58"/>
      <c r="B7" s="59" t="s">
        <v>475</v>
      </c>
      <c r="C7" s="15" t="s">
        <v>499</v>
      </c>
      <c r="D7" s="15" t="s">
        <v>500</v>
      </c>
      <c r="E7" s="82" t="str">
        <f>IF(D7&lt;&gt;"","ACM"&amp;COUNTIF($D$2:D7,"&lt;&gt;"),"")</f>
        <v>ACM6</v>
      </c>
      <c r="F7" s="12"/>
      <c r="G7" s="60" t="str">
        <f t="shared" si="0"/>
        <v>https://doi.org/10.1145/3711681</v>
      </c>
      <c r="H7" s="15" t="s">
        <v>501</v>
      </c>
      <c r="I7" s="59">
        <v>2025</v>
      </c>
      <c r="J7" s="15"/>
      <c r="K7" s="15"/>
      <c r="L7" s="15"/>
      <c r="M7" s="15"/>
      <c r="N7" s="15"/>
      <c r="O7" s="15"/>
      <c r="P7" s="59" t="s">
        <v>476</v>
      </c>
      <c r="Q7" s="15"/>
      <c r="R7" s="15"/>
      <c r="S7" s="15"/>
      <c r="T7" s="15"/>
      <c r="U7" s="15"/>
      <c r="V7" s="15"/>
      <c r="W7" s="15"/>
      <c r="X7" s="15"/>
      <c r="Y7" s="15"/>
      <c r="Z7" s="15"/>
      <c r="AA7" s="15"/>
      <c r="AB7" s="15"/>
      <c r="AC7" s="15"/>
    </row>
    <row r="8" spans="1:29" ht="13.2">
      <c r="A8" s="58"/>
      <c r="B8" s="59" t="s">
        <v>477</v>
      </c>
      <c r="C8" s="15" t="s">
        <v>502</v>
      </c>
      <c r="D8" s="15" t="s">
        <v>503</v>
      </c>
      <c r="E8" s="82" t="str">
        <f>IF(D8&lt;&gt;"","ACM"&amp;COUNTIF($D$2:D8,"&lt;&gt;"),"")</f>
        <v>ACM7</v>
      </c>
      <c r="F8" s="12"/>
      <c r="G8" s="60" t="str">
        <f t="shared" si="0"/>
        <v>https://doi.org/10.1145/3715014.3722069</v>
      </c>
      <c r="H8" s="15" t="s">
        <v>504</v>
      </c>
      <c r="I8" s="59">
        <v>2025</v>
      </c>
      <c r="J8" s="15"/>
      <c r="K8" s="15"/>
      <c r="L8" s="15"/>
      <c r="M8" s="15"/>
      <c r="N8" s="15"/>
      <c r="O8" s="15"/>
      <c r="P8" s="83" t="s">
        <v>478</v>
      </c>
      <c r="Q8" s="15"/>
      <c r="R8" s="15"/>
      <c r="S8" s="15"/>
      <c r="T8" s="15"/>
      <c r="U8" s="15"/>
      <c r="V8" s="15"/>
      <c r="W8" s="15"/>
      <c r="X8" s="15"/>
      <c r="Y8" s="15"/>
      <c r="Z8" s="15"/>
      <c r="AA8" s="15"/>
      <c r="AB8" s="15"/>
      <c r="AC8" s="15"/>
    </row>
    <row r="9" spans="1:29" ht="13.2">
      <c r="A9" s="53"/>
      <c r="B9" s="59" t="s">
        <v>479</v>
      </c>
      <c r="C9" s="15" t="s">
        <v>505</v>
      </c>
      <c r="D9" s="15" t="s">
        <v>506</v>
      </c>
      <c r="E9" s="82" t="str">
        <f>IF(D9&lt;&gt;"","ACM"&amp;COUNTIF($D$2:D9,"&lt;&gt;"),"")</f>
        <v>ACM8</v>
      </c>
      <c r="F9" s="12"/>
      <c r="G9" s="60" t="str">
        <f t="shared" si="0"/>
        <v>https://doi.org/10.1145/3633637.3633664</v>
      </c>
      <c r="H9" s="15" t="s">
        <v>507</v>
      </c>
      <c r="I9" s="59">
        <v>2024</v>
      </c>
      <c r="J9" s="15"/>
      <c r="K9" s="15"/>
      <c r="L9" s="15"/>
      <c r="M9" s="15"/>
      <c r="N9" s="15"/>
      <c r="O9" s="15"/>
      <c r="P9" s="83" t="s">
        <v>480</v>
      </c>
      <c r="Q9" s="15"/>
      <c r="R9" s="15"/>
      <c r="S9" s="15"/>
      <c r="T9" s="15"/>
      <c r="U9" s="15"/>
      <c r="V9" s="15"/>
      <c r="W9" s="15"/>
      <c r="X9" s="15"/>
      <c r="Y9" s="15"/>
      <c r="Z9" s="15"/>
      <c r="AA9" s="15"/>
      <c r="AB9" s="15"/>
      <c r="AC9" s="15"/>
    </row>
    <row r="10" spans="1:29" ht="13.2">
      <c r="B10" s="59" t="s">
        <v>481</v>
      </c>
      <c r="C10" s="15" t="s">
        <v>508</v>
      </c>
      <c r="D10" s="15" t="s">
        <v>509</v>
      </c>
      <c r="E10" s="82" t="str">
        <f>IF(D10&lt;&gt;"","ACM"&amp;COUNTIF($D$2:D10,"&lt;&gt;"),"")</f>
        <v>ACM9</v>
      </c>
      <c r="F10" s="12"/>
      <c r="G10" s="60" t="str">
        <f t="shared" si="0"/>
        <v>https://doi.org/10.1145/3664647.3681262</v>
      </c>
      <c r="H10" s="15" t="s">
        <v>510</v>
      </c>
      <c r="I10" s="59">
        <v>2024</v>
      </c>
      <c r="J10" s="15"/>
      <c r="K10" s="15"/>
      <c r="L10" s="15"/>
      <c r="M10" s="15"/>
      <c r="N10" s="15"/>
      <c r="O10" s="15"/>
      <c r="P10" s="59" t="s">
        <v>482</v>
      </c>
      <c r="Q10" s="15"/>
      <c r="R10" s="15"/>
      <c r="S10" s="15"/>
      <c r="T10" s="15"/>
      <c r="U10" s="15"/>
      <c r="V10" s="15"/>
      <c r="W10" s="15"/>
      <c r="X10" s="15"/>
      <c r="Y10" s="15"/>
      <c r="Z10" s="15"/>
      <c r="AA10" s="15"/>
      <c r="AB10" s="15"/>
      <c r="AC10" s="15"/>
    </row>
    <row r="11" spans="1:29" ht="13.2">
      <c r="A11" s="53"/>
      <c r="B11" s="84"/>
      <c r="C11" s="85"/>
      <c r="D11" s="84"/>
      <c r="E11" s="82" t="str">
        <f>IF(D11&lt;&gt;"","ACM"&amp;COUNTIF($D$2:D11,"&lt;&gt;"),"")</f>
        <v/>
      </c>
      <c r="F11" s="12"/>
      <c r="G11" s="60" t="str">
        <f>HYPERLINK(P11)</f>
        <v/>
      </c>
      <c r="H11" s="15"/>
      <c r="I11" s="15"/>
      <c r="J11" s="15"/>
      <c r="K11" s="15"/>
      <c r="L11" s="15"/>
      <c r="M11" s="15"/>
      <c r="N11" s="15"/>
      <c r="O11" s="15"/>
      <c r="P11" s="15"/>
      <c r="Q11" s="15"/>
      <c r="R11" s="15"/>
      <c r="S11" s="15"/>
      <c r="T11" s="15"/>
      <c r="U11" s="15"/>
      <c r="V11" s="15"/>
      <c r="W11" s="15"/>
      <c r="X11" s="15"/>
      <c r="Y11" s="15"/>
      <c r="Z11" s="15"/>
      <c r="AA11" s="15"/>
      <c r="AB11" s="15"/>
      <c r="AC11" s="15"/>
    </row>
    <row r="12" spans="1:29" ht="13.2">
      <c r="A12" s="53" t="s">
        <v>43</v>
      </c>
      <c r="B12" s="59" t="s">
        <v>471</v>
      </c>
      <c r="C12" s="15" t="s">
        <v>493</v>
      </c>
      <c r="D12" s="15" t="s">
        <v>740</v>
      </c>
      <c r="E12" s="82" t="str">
        <f>IF(D12&lt;&gt;"","ACM"&amp;COUNTIF($D$2:D12,"&lt;&gt;"),"")</f>
        <v>ACM10</v>
      </c>
      <c r="F12" s="12"/>
      <c r="G12" s="60" t="str">
        <f t="shared" ref="G12:G17" si="1">HYPERLINK(P12)</f>
        <v>https://dl.acm.org/doi/abs/10.1145/3503161.3548766</v>
      </c>
      <c r="H12" s="15" t="s">
        <v>698</v>
      </c>
      <c r="I12" s="15">
        <v>2022</v>
      </c>
      <c r="J12" s="15"/>
      <c r="K12" s="15"/>
      <c r="L12" s="15"/>
      <c r="M12" s="15"/>
      <c r="N12" s="15"/>
      <c r="O12" s="15"/>
      <c r="P12" s="12" t="s">
        <v>697</v>
      </c>
      <c r="Q12" s="15"/>
      <c r="R12" s="15"/>
      <c r="S12" s="15"/>
      <c r="T12" s="15"/>
      <c r="U12" s="15"/>
      <c r="V12" s="15"/>
      <c r="W12" s="15"/>
      <c r="X12" s="15"/>
      <c r="Y12" s="15"/>
      <c r="Z12" s="15"/>
      <c r="AA12" s="15"/>
      <c r="AB12" s="15"/>
      <c r="AC12" s="15"/>
    </row>
    <row r="13" spans="1:29" ht="13.2">
      <c r="A13" s="53"/>
      <c r="B13" s="59" t="s">
        <v>1073</v>
      </c>
      <c r="C13" s="15" t="s">
        <v>741</v>
      </c>
      <c r="D13" s="15" t="s">
        <v>742</v>
      </c>
      <c r="E13" s="82" t="str">
        <f>IF(D13&lt;&gt;"","ACM"&amp;COUNTIF($D$2:D13,"&lt;&gt;"),"")</f>
        <v>ACM11</v>
      </c>
      <c r="F13" s="12"/>
      <c r="G13" s="60" t="str">
        <f t="shared" si="1"/>
        <v>https://dl.acm.org/doi/10.1016/j.pmcj.2023.101801</v>
      </c>
      <c r="H13" s="15" t="s">
        <v>701</v>
      </c>
      <c r="I13" s="15">
        <v>2023</v>
      </c>
      <c r="J13" s="15"/>
      <c r="K13" s="15"/>
      <c r="L13" s="15"/>
      <c r="M13" s="15"/>
      <c r="N13" s="15"/>
      <c r="O13" s="15"/>
      <c r="P13" s="12" t="s">
        <v>700</v>
      </c>
      <c r="Q13" s="15"/>
      <c r="R13" s="15"/>
      <c r="S13" s="15"/>
      <c r="T13" s="15"/>
      <c r="U13" s="15"/>
      <c r="V13" s="15"/>
      <c r="W13" s="15"/>
      <c r="X13" s="15"/>
      <c r="Y13" s="15"/>
      <c r="Z13" s="15"/>
      <c r="AA13" s="15"/>
      <c r="AB13" s="15"/>
      <c r="AC13" s="15"/>
    </row>
    <row r="14" spans="1:29" ht="13.2">
      <c r="A14" s="53"/>
      <c r="B14" t="s">
        <v>695</v>
      </c>
      <c r="C14" s="74" t="s">
        <v>748</v>
      </c>
      <c r="D14" s="15" t="s">
        <v>743</v>
      </c>
      <c r="E14" s="82" t="str">
        <f>IF(D14&lt;&gt;"","ACM"&amp;COUNTIF($D$2:D14,"&lt;&gt;"),"")</f>
        <v>ACM12</v>
      </c>
      <c r="F14" s="12"/>
      <c r="G14" s="60" t="str">
        <f t="shared" si="1"/>
        <v>https://dl.acm.org/doi/10.1145/3743680</v>
      </c>
      <c r="H14" s="15" t="s">
        <v>702</v>
      </c>
      <c r="I14" s="15">
        <v>2025</v>
      </c>
      <c r="J14" s="15"/>
      <c r="K14" s="15"/>
      <c r="L14" s="15"/>
      <c r="M14" s="15"/>
      <c r="N14" s="15"/>
      <c r="O14" s="15"/>
      <c r="P14" s="12" t="s">
        <v>696</v>
      </c>
      <c r="Q14" s="15"/>
      <c r="R14" s="15"/>
      <c r="S14" s="15"/>
      <c r="T14" s="15"/>
      <c r="U14" s="15"/>
      <c r="V14" s="15"/>
      <c r="W14" s="15"/>
      <c r="X14" s="15"/>
      <c r="Y14" s="15"/>
      <c r="Z14" s="15"/>
      <c r="AA14" s="15"/>
      <c r="AB14" s="15"/>
      <c r="AC14" s="15"/>
    </row>
    <row r="15" spans="1:29" ht="13.2">
      <c r="A15" s="53"/>
      <c r="B15" t="s">
        <v>1074</v>
      </c>
      <c r="C15" t="s">
        <v>744</v>
      </c>
      <c r="D15" s="15" t="s">
        <v>745</v>
      </c>
      <c r="E15" s="82" t="str">
        <f>IF(D15&lt;&gt;"","ACM"&amp;COUNTIF($D$2:D15,"&lt;&gt;"),"")</f>
        <v>ACM13</v>
      </c>
      <c r="F15" s="12"/>
      <c r="G15" s="60" t="str">
        <f t="shared" si="1"/>
        <v>https://dl.acm.org/doi/10.1145/3695254</v>
      </c>
      <c r="H15" s="15" t="s">
        <v>705</v>
      </c>
      <c r="I15" s="15">
        <v>2024</v>
      </c>
      <c r="J15" s="15"/>
      <c r="K15" s="15"/>
      <c r="L15" s="15"/>
      <c r="M15" s="15"/>
      <c r="N15" s="15"/>
      <c r="O15" s="15"/>
      <c r="P15" s="12" t="s">
        <v>704</v>
      </c>
      <c r="Q15" s="15"/>
      <c r="R15" s="15"/>
      <c r="S15" s="15"/>
      <c r="T15" s="15"/>
      <c r="U15" s="15"/>
      <c r="V15" s="15"/>
      <c r="W15" s="15"/>
      <c r="X15" s="15"/>
      <c r="Y15" s="15"/>
      <c r="Z15" s="15"/>
      <c r="AA15" s="15"/>
      <c r="AB15" s="15"/>
      <c r="AC15" s="15"/>
    </row>
    <row r="16" spans="1:29" ht="13.2">
      <c r="A16" s="53"/>
      <c r="B16" s="15" t="s">
        <v>483</v>
      </c>
      <c r="C16" t="s">
        <v>746</v>
      </c>
      <c r="D16" s="15" t="s">
        <v>747</v>
      </c>
      <c r="E16" s="82" t="str">
        <f>IF(D16&lt;&gt;"","ACM"&amp;COUNTIF($D$2:D16,"&lt;&gt;"),"")</f>
        <v>ACM14</v>
      </c>
      <c r="F16" s="12"/>
      <c r="G16" s="60" t="str">
        <f t="shared" si="1"/>
        <v>https://dl.acm.org/doi/10.1145/3715275.3732185</v>
      </c>
      <c r="H16" s="15" t="s">
        <v>707</v>
      </c>
      <c r="I16" s="15">
        <v>2025</v>
      </c>
      <c r="J16" s="15"/>
      <c r="K16" s="15"/>
      <c r="L16" s="15"/>
      <c r="M16" s="15"/>
      <c r="N16" s="15"/>
      <c r="O16" s="15"/>
      <c r="P16" s="12" t="s">
        <v>706</v>
      </c>
      <c r="Q16" s="15"/>
      <c r="R16" s="15"/>
      <c r="S16" s="15"/>
      <c r="T16" s="15"/>
      <c r="U16" s="15"/>
      <c r="V16" s="15"/>
      <c r="W16" s="15"/>
      <c r="X16" s="15"/>
      <c r="Y16" s="15"/>
      <c r="Z16" s="15"/>
      <c r="AA16" s="15"/>
      <c r="AB16" s="15"/>
      <c r="AC16" s="15"/>
    </row>
    <row r="17" spans="1:29" ht="13.2">
      <c r="A17" s="58"/>
      <c r="B17" s="84"/>
      <c r="C17" s="85"/>
      <c r="D17" s="84"/>
      <c r="E17" s="82" t="str">
        <f>IF(D17&lt;&gt;"","ACM"&amp;COUNTIF($D$2:D17,"&lt;&gt;"),"")</f>
        <v/>
      </c>
      <c r="F17" s="12"/>
      <c r="G17" s="60" t="str">
        <f t="shared" si="1"/>
        <v/>
      </c>
      <c r="H17" s="86"/>
      <c r="I17" s="15"/>
      <c r="J17" s="15"/>
      <c r="K17" s="15"/>
      <c r="L17" s="15"/>
      <c r="M17" s="15"/>
      <c r="N17" s="15"/>
      <c r="O17" s="15"/>
      <c r="P17" s="15"/>
      <c r="Q17" s="15"/>
      <c r="R17" s="15"/>
      <c r="S17" s="15"/>
      <c r="T17" s="15"/>
      <c r="U17" s="15"/>
      <c r="V17" s="15"/>
      <c r="W17" s="15"/>
      <c r="X17" s="15"/>
      <c r="Y17" s="15"/>
      <c r="Z17" s="15"/>
      <c r="AA17" s="15"/>
      <c r="AB17" s="15"/>
      <c r="AC17" s="15"/>
    </row>
    <row r="18" spans="1:29" ht="13.2">
      <c r="A18" s="53" t="s">
        <v>262</v>
      </c>
      <c r="B18" t="s">
        <v>708</v>
      </c>
      <c r="C18" s="15" t="s">
        <v>724</v>
      </c>
      <c r="D18" s="15" t="s">
        <v>724</v>
      </c>
      <c r="E18" s="82" t="str">
        <f>IF(D18&lt;&gt;"","ACM"&amp;COUNTIF($D$2:D18,"&lt;&gt;"),"")</f>
        <v>ACM15</v>
      </c>
      <c r="F18" s="12"/>
      <c r="G18" s="60" t="str">
        <f>HYPERLINK("https://doi.org/" &amp; P18, "https://doi.org/" &amp; P18)</f>
        <v>https://doi.org/10.1145/3703187.3703254</v>
      </c>
      <c r="H18" s="15" t="s">
        <v>725</v>
      </c>
      <c r="I18" s="15">
        <v>2024</v>
      </c>
      <c r="J18" s="15"/>
      <c r="K18" s="15"/>
      <c r="L18" s="15"/>
      <c r="M18" s="15"/>
      <c r="N18" s="15"/>
      <c r="O18" s="15"/>
      <c r="P18" s="15" t="s">
        <v>709</v>
      </c>
      <c r="Q18" s="15"/>
      <c r="R18" s="15"/>
      <c r="S18" s="15"/>
      <c r="T18" s="15"/>
      <c r="U18" s="15"/>
      <c r="V18" s="15"/>
      <c r="W18" s="15"/>
      <c r="X18" s="15"/>
      <c r="Y18" s="15"/>
      <c r="Z18" s="15"/>
      <c r="AA18" s="15"/>
      <c r="AB18" s="15"/>
      <c r="AC18" s="15"/>
    </row>
    <row r="19" spans="1:29" ht="13.2">
      <c r="A19" s="13"/>
      <c r="B19" t="s">
        <v>710</v>
      </c>
      <c r="C19" s="15" t="s">
        <v>726</v>
      </c>
      <c r="D19" s="15" t="s">
        <v>726</v>
      </c>
      <c r="E19" s="82" t="str">
        <f>IF(D19&lt;&gt;"","ACM"&amp;COUNTIF($D$2:D19,"&lt;&gt;"),"")</f>
        <v>ACM16</v>
      </c>
      <c r="F19" s="12"/>
      <c r="G19" s="60" t="str">
        <f t="shared" ref="G19:G25" si="2">HYPERLINK("https://doi.org/" &amp; P19, "https://doi.org/" &amp; P19)</f>
        <v>https://doi.org/10.1145/3581783.3613444</v>
      </c>
      <c r="H19" s="15" t="s">
        <v>727</v>
      </c>
      <c r="I19" s="15">
        <v>2023</v>
      </c>
      <c r="J19" s="15"/>
      <c r="K19" s="15"/>
      <c r="L19" s="15"/>
      <c r="M19" s="15"/>
      <c r="N19" s="15"/>
      <c r="O19" s="15"/>
      <c r="P19" s="15" t="s">
        <v>711</v>
      </c>
      <c r="Q19" s="15"/>
      <c r="R19" s="15"/>
      <c r="S19" s="15"/>
      <c r="T19" s="15"/>
      <c r="U19" s="15"/>
      <c r="V19" s="15"/>
      <c r="W19" s="15"/>
      <c r="X19" s="15"/>
      <c r="Y19" s="15"/>
      <c r="Z19" s="15"/>
      <c r="AA19" s="15"/>
      <c r="AB19" s="15"/>
      <c r="AC19" s="15"/>
    </row>
    <row r="20" spans="1:29" ht="13.2">
      <c r="A20" s="13"/>
      <c r="B20" t="s">
        <v>712</v>
      </c>
      <c r="C20" s="15" t="s">
        <v>728</v>
      </c>
      <c r="D20" s="15" t="s">
        <v>728</v>
      </c>
      <c r="E20" s="82" t="str">
        <f>IF(D20&lt;&gt;"","ACM"&amp;COUNTIF($D$2:D20,"&lt;&gt;"),"")</f>
        <v>ACM17</v>
      </c>
      <c r="F20" s="12"/>
      <c r="G20" s="60" t="str">
        <f t="shared" si="2"/>
        <v>https://doi.org/10.1145/3687488.3687544</v>
      </c>
      <c r="H20" s="15" t="s">
        <v>729</v>
      </c>
      <c r="I20" s="15">
        <v>2024</v>
      </c>
      <c r="J20" s="15"/>
      <c r="K20" s="15"/>
      <c r="L20" s="15"/>
      <c r="M20" s="15"/>
      <c r="N20" s="15"/>
      <c r="O20" s="15"/>
      <c r="P20" s="15" t="s">
        <v>713</v>
      </c>
      <c r="Q20" s="15"/>
      <c r="R20" s="15"/>
      <c r="S20" s="15"/>
      <c r="T20" s="15"/>
      <c r="U20" s="15"/>
      <c r="V20" s="15"/>
      <c r="W20" s="15"/>
      <c r="X20" s="15"/>
      <c r="Y20" s="15"/>
      <c r="Z20" s="15"/>
      <c r="AA20" s="15"/>
      <c r="AB20" s="15"/>
      <c r="AC20" s="15"/>
    </row>
    <row r="21" spans="1:29" ht="13.2">
      <c r="A21" s="13"/>
      <c r="B21" t="s">
        <v>714</v>
      </c>
      <c r="C21" s="15" t="s">
        <v>730</v>
      </c>
      <c r="D21" s="15" t="s">
        <v>730</v>
      </c>
      <c r="E21" s="82" t="str">
        <f>IF(D21&lt;&gt;"","ACM"&amp;COUNTIF($D$2:D21,"&lt;&gt;"),"")</f>
        <v>ACM18</v>
      </c>
      <c r="F21" s="12"/>
      <c r="G21" s="60" t="str">
        <f t="shared" si="2"/>
        <v>https://doi.org/10.1145/3638884.3638886</v>
      </c>
      <c r="H21" s="15" t="s">
        <v>731</v>
      </c>
      <c r="I21" s="15">
        <v>2024</v>
      </c>
      <c r="J21" s="15"/>
      <c r="K21" s="15"/>
      <c r="L21" s="15"/>
      <c r="M21" s="15"/>
      <c r="N21" s="15"/>
      <c r="O21" s="15"/>
      <c r="P21" s="15" t="s">
        <v>715</v>
      </c>
      <c r="Q21" s="15"/>
      <c r="R21" s="15"/>
      <c r="S21" s="15"/>
      <c r="T21" s="15"/>
      <c r="U21" s="15"/>
      <c r="V21" s="15"/>
      <c r="W21" s="15"/>
      <c r="X21" s="15"/>
      <c r="Y21" s="15"/>
      <c r="Z21" s="15"/>
      <c r="AA21" s="15"/>
      <c r="AB21" s="15"/>
      <c r="AC21" s="15"/>
    </row>
    <row r="22" spans="1:29" ht="13.2">
      <c r="A22" s="13"/>
      <c r="B22" t="s">
        <v>716</v>
      </c>
      <c r="C22" s="15" t="s">
        <v>732</v>
      </c>
      <c r="D22" s="15" t="s">
        <v>732</v>
      </c>
      <c r="E22" s="82" t="str">
        <f>IF(D22&lt;&gt;"","ACM"&amp;COUNTIF($D$2:D22,"&lt;&gt;"),"")</f>
        <v>ACM19</v>
      </c>
      <c r="F22" s="12"/>
      <c r="G22" s="60" t="str">
        <f t="shared" si="2"/>
        <v>https://doi.org/10.1145/3573428.3573740</v>
      </c>
      <c r="H22" s="15" t="s">
        <v>733</v>
      </c>
      <c r="I22" s="15">
        <v>2023</v>
      </c>
      <c r="J22" s="15"/>
      <c r="K22" s="15"/>
      <c r="L22" s="15"/>
      <c r="M22" s="15"/>
      <c r="N22" s="15"/>
      <c r="O22" s="15"/>
      <c r="P22" s="15" t="s">
        <v>717</v>
      </c>
      <c r="Q22" s="15"/>
      <c r="R22" s="15"/>
      <c r="S22" s="15"/>
      <c r="T22" s="15"/>
      <c r="U22" s="15"/>
      <c r="V22" s="15"/>
      <c r="W22" s="15"/>
      <c r="X22" s="15"/>
      <c r="Y22" s="15"/>
      <c r="Z22" s="15"/>
      <c r="AA22" s="15"/>
      <c r="AB22" s="15"/>
      <c r="AC22" s="15"/>
    </row>
    <row r="23" spans="1:29" ht="13.2">
      <c r="A23" s="13"/>
      <c r="B23" t="s">
        <v>718</v>
      </c>
      <c r="C23" s="15" t="s">
        <v>734</v>
      </c>
      <c r="D23" s="15" t="s">
        <v>734</v>
      </c>
      <c r="E23" s="82" t="str">
        <f>IF(D23&lt;&gt;"","ACM"&amp;COUNTIF($D$2:D23,"&lt;&gt;"),"")</f>
        <v>ACM20</v>
      </c>
      <c r="F23" s="12"/>
      <c r="G23" s="60" t="str">
        <f t="shared" si="2"/>
        <v>https://doi.org/10.1145/3581807.3581817</v>
      </c>
      <c r="H23" s="15" t="s">
        <v>735</v>
      </c>
      <c r="I23" s="15">
        <v>2023</v>
      </c>
      <c r="J23" s="15"/>
      <c r="K23" s="15"/>
      <c r="L23" s="15"/>
      <c r="M23" s="15"/>
      <c r="N23" s="15"/>
      <c r="O23" s="15"/>
      <c r="P23" s="15" t="s">
        <v>719</v>
      </c>
      <c r="Q23" s="15"/>
      <c r="R23" s="15"/>
      <c r="S23" s="15"/>
      <c r="T23" s="15"/>
      <c r="U23" s="15"/>
      <c r="V23" s="15"/>
      <c r="W23" s="15"/>
      <c r="X23" s="15"/>
      <c r="Y23" s="15"/>
      <c r="Z23" s="15"/>
      <c r="AA23" s="15"/>
      <c r="AB23" s="15"/>
      <c r="AC23" s="15"/>
    </row>
    <row r="24" spans="1:29" ht="13.2">
      <c r="A24" s="13"/>
      <c r="B24" s="84" t="s">
        <v>720</v>
      </c>
      <c r="C24" s="15" t="s">
        <v>736</v>
      </c>
      <c r="D24" s="15" t="s">
        <v>736</v>
      </c>
      <c r="E24" s="82" t="str">
        <f>IF(D24&lt;&gt;"","ACM"&amp;COUNTIF($D$2:D24,"&lt;&gt;"),"")</f>
        <v>ACM21</v>
      </c>
      <c r="F24" s="12"/>
      <c r="G24" s="60" t="str">
        <f t="shared" si="2"/>
        <v>https://doi.org/10.1145/3503161.3547895</v>
      </c>
      <c r="H24" s="15" t="s">
        <v>737</v>
      </c>
      <c r="I24" s="15">
        <v>2022</v>
      </c>
      <c r="J24" s="15"/>
      <c r="K24" s="15"/>
      <c r="L24" s="15"/>
      <c r="M24" s="15"/>
      <c r="N24" s="15"/>
      <c r="O24" s="15"/>
      <c r="P24" s="15" t="s">
        <v>721</v>
      </c>
      <c r="Q24" s="15"/>
      <c r="R24" s="15"/>
      <c r="S24" s="15"/>
      <c r="T24" s="15"/>
      <c r="U24" s="15"/>
      <c r="V24" s="15"/>
      <c r="W24" s="15"/>
      <c r="X24" s="15"/>
      <c r="Y24" s="15"/>
      <c r="Z24" s="15"/>
      <c r="AA24" s="15"/>
      <c r="AB24" s="15"/>
      <c r="AC24" s="15"/>
    </row>
    <row r="25" spans="1:29" ht="13.2">
      <c r="B25" t="s">
        <v>722</v>
      </c>
      <c r="C25" s="15" t="s">
        <v>738</v>
      </c>
      <c r="D25" s="15" t="s">
        <v>738</v>
      </c>
      <c r="E25" s="82" t="str">
        <f>IF(D25&lt;&gt;"","ACM"&amp;COUNTIF($D$2:D25,"&lt;&gt;"),"")</f>
        <v>ACM22</v>
      </c>
      <c r="F25" s="12"/>
      <c r="G25" s="60" t="str">
        <f t="shared" si="2"/>
        <v>https://doi.org/10.1145/3394171.3413989</v>
      </c>
      <c r="H25" s="15" t="s">
        <v>739</v>
      </c>
      <c r="I25" s="15">
        <v>2020</v>
      </c>
      <c r="J25" s="15"/>
      <c r="K25" s="15"/>
      <c r="L25" s="15"/>
      <c r="M25" s="15"/>
      <c r="N25" s="15"/>
      <c r="O25" s="15"/>
      <c r="P25" s="15" t="s">
        <v>723</v>
      </c>
      <c r="Q25" s="15"/>
      <c r="R25" s="15"/>
      <c r="S25" s="15"/>
      <c r="T25" s="15"/>
      <c r="U25" s="15"/>
      <c r="V25" s="15"/>
      <c r="W25" s="15"/>
      <c r="X25" s="15"/>
      <c r="Y25" s="15"/>
      <c r="Z25" s="15"/>
      <c r="AA25" s="15"/>
      <c r="AB25" s="15"/>
      <c r="AC25" s="15"/>
    </row>
    <row r="26" spans="1:29" ht="13.2">
      <c r="A26" s="13"/>
      <c r="B26" s="84"/>
      <c r="C26" s="85"/>
      <c r="D26" s="84"/>
      <c r="E26" s="82"/>
      <c r="F26" s="12"/>
      <c r="G26" s="76"/>
      <c r="H26" s="15"/>
      <c r="I26" s="15"/>
      <c r="J26" s="15"/>
      <c r="K26" s="15"/>
      <c r="L26" s="15"/>
      <c r="M26" s="15"/>
      <c r="N26" s="15"/>
      <c r="O26" s="15"/>
      <c r="P26" s="15"/>
      <c r="Q26" s="15"/>
      <c r="R26" s="15"/>
      <c r="S26" s="15"/>
      <c r="T26" s="15"/>
      <c r="U26" s="15"/>
      <c r="V26" s="15"/>
      <c r="W26" s="15"/>
      <c r="X26" s="15"/>
      <c r="Y26" s="15"/>
      <c r="Z26" s="15"/>
      <c r="AA26" s="15"/>
      <c r="AB26" s="15"/>
      <c r="AC26" s="15"/>
    </row>
    <row r="27" spans="1:29" ht="13.2">
      <c r="A27" s="13"/>
      <c r="B27" s="87"/>
      <c r="C27" s="85"/>
      <c r="D27" s="84"/>
      <c r="E27" s="82"/>
      <c r="F27" s="12"/>
      <c r="G27" s="76"/>
      <c r="H27" s="15"/>
      <c r="I27" s="15"/>
      <c r="J27" s="15"/>
      <c r="K27" s="15"/>
      <c r="L27" s="15"/>
      <c r="M27" s="15"/>
      <c r="N27" s="15"/>
      <c r="O27" s="15"/>
      <c r="P27" s="15"/>
      <c r="Q27" s="15"/>
      <c r="R27" s="15"/>
      <c r="S27" s="15"/>
      <c r="T27" s="15"/>
      <c r="U27" s="15"/>
      <c r="V27" s="15"/>
      <c r="W27" s="15"/>
      <c r="X27" s="15"/>
      <c r="Y27" s="15"/>
      <c r="Z27" s="15"/>
      <c r="AA27" s="15"/>
      <c r="AB27" s="15"/>
      <c r="AC27" s="15"/>
    </row>
    <row r="28" spans="1:29" ht="13.2">
      <c r="A28" s="13"/>
      <c r="E28" s="15"/>
      <c r="F28" s="12"/>
      <c r="G28" s="15"/>
      <c r="H28" s="15"/>
      <c r="I28" s="15"/>
      <c r="J28" s="15"/>
      <c r="K28" s="15"/>
      <c r="L28" s="15"/>
      <c r="M28" s="15"/>
      <c r="N28" s="15"/>
      <c r="O28" s="15"/>
      <c r="P28" s="15"/>
      <c r="Q28" s="15"/>
      <c r="R28" s="15"/>
      <c r="S28" s="15"/>
      <c r="T28" s="15"/>
      <c r="U28" s="15"/>
      <c r="V28" s="15"/>
      <c r="W28" s="15"/>
      <c r="X28" s="15"/>
      <c r="Y28" s="15"/>
      <c r="Z28" s="15"/>
      <c r="AA28" s="15"/>
      <c r="AB28" s="15"/>
      <c r="AC28" s="15"/>
    </row>
    <row r="29" spans="1:29" ht="13.2">
      <c r="A29" s="13"/>
      <c r="B29" s="15"/>
      <c r="C29" s="15"/>
      <c r="D29" s="15"/>
      <c r="E29" s="15"/>
      <c r="F29" s="12"/>
      <c r="G29" s="15"/>
      <c r="H29" s="15"/>
      <c r="I29" s="15"/>
      <c r="J29" s="15"/>
      <c r="K29" s="15"/>
      <c r="L29" s="15"/>
      <c r="M29" s="15"/>
      <c r="N29" s="15"/>
      <c r="O29" s="15"/>
      <c r="P29" s="15"/>
      <c r="Q29" s="15"/>
      <c r="R29" s="15"/>
      <c r="S29" s="15"/>
      <c r="T29" s="15"/>
      <c r="U29" s="15"/>
      <c r="V29" s="15"/>
      <c r="W29" s="15"/>
      <c r="X29" s="15"/>
      <c r="Y29" s="15"/>
      <c r="Z29" s="15"/>
      <c r="AA29" s="15"/>
      <c r="AB29" s="15"/>
      <c r="AC29" s="15"/>
    </row>
    <row r="30" spans="1:29" ht="13.2">
      <c r="A30" s="13"/>
      <c r="B30" s="15"/>
      <c r="C30" s="15"/>
      <c r="D30" s="15"/>
      <c r="E30" s="15"/>
      <c r="F30" s="12"/>
      <c r="G30" s="15"/>
      <c r="H30" s="15"/>
      <c r="I30" s="15"/>
      <c r="J30" s="15"/>
      <c r="K30" s="15"/>
      <c r="L30" s="15"/>
      <c r="M30" s="15"/>
      <c r="N30" s="15"/>
      <c r="O30" s="15"/>
      <c r="P30" s="15"/>
      <c r="Q30" s="15"/>
      <c r="R30" s="15"/>
      <c r="S30" s="15"/>
      <c r="T30" s="15"/>
      <c r="U30" s="15"/>
      <c r="V30" s="15"/>
      <c r="W30" s="15"/>
      <c r="X30" s="15"/>
      <c r="Y30" s="15"/>
      <c r="Z30" s="15"/>
      <c r="AA30" s="15"/>
      <c r="AB30" s="15"/>
      <c r="AC30" s="15"/>
    </row>
    <row r="31" spans="1:29" ht="13.2">
      <c r="A31" s="13"/>
      <c r="B31" s="15"/>
      <c r="C31" s="15"/>
      <c r="D31" s="15"/>
      <c r="E31" s="15"/>
      <c r="F31" s="12"/>
      <c r="G31" s="15"/>
      <c r="H31" s="15"/>
      <c r="I31" s="15"/>
      <c r="J31" s="15"/>
      <c r="K31" s="15"/>
      <c r="L31" s="15"/>
      <c r="M31" s="15"/>
      <c r="N31" s="15"/>
      <c r="O31" s="15"/>
      <c r="P31" s="15"/>
      <c r="Q31" s="15"/>
      <c r="R31" s="15"/>
      <c r="S31" s="15"/>
      <c r="T31" s="15"/>
      <c r="U31" s="15"/>
      <c r="V31" s="15"/>
      <c r="W31" s="15"/>
      <c r="X31" s="15"/>
      <c r="Y31" s="15"/>
      <c r="Z31" s="15"/>
      <c r="AA31" s="15"/>
      <c r="AB31" s="15"/>
      <c r="AC31" s="15"/>
    </row>
    <row r="32" spans="1:29" ht="13.2">
      <c r="A32" s="13"/>
      <c r="B32" s="15"/>
      <c r="C32" s="15"/>
      <c r="D32" s="15"/>
      <c r="E32" s="15"/>
      <c r="F32" s="12"/>
      <c r="G32" s="15"/>
      <c r="H32" s="15"/>
      <c r="I32" s="15"/>
      <c r="J32" s="15"/>
      <c r="K32" s="15"/>
      <c r="L32" s="15"/>
      <c r="M32" s="15"/>
      <c r="N32" s="15"/>
      <c r="O32" s="15"/>
      <c r="P32" s="15"/>
      <c r="Q32" s="15"/>
      <c r="R32" s="15"/>
      <c r="S32" s="15"/>
      <c r="T32" s="15"/>
      <c r="U32" s="15"/>
      <c r="V32" s="15"/>
      <c r="W32" s="15"/>
      <c r="X32" s="15"/>
      <c r="Y32" s="15"/>
      <c r="Z32" s="15"/>
      <c r="AA32" s="15"/>
      <c r="AB32" s="15"/>
      <c r="AC32" s="15"/>
    </row>
    <row r="33" spans="1:29" ht="13.2">
      <c r="A33" s="13"/>
      <c r="B33" s="15"/>
      <c r="C33" s="15"/>
      <c r="D33" s="15"/>
      <c r="E33" s="15"/>
      <c r="F33" s="12"/>
      <c r="G33" s="15"/>
      <c r="H33" s="15"/>
      <c r="I33" s="15"/>
      <c r="J33" s="15"/>
      <c r="K33" s="15"/>
      <c r="L33" s="15"/>
      <c r="M33" s="15"/>
      <c r="N33" s="15"/>
      <c r="O33" s="15"/>
      <c r="P33" s="15"/>
      <c r="Q33" s="15"/>
      <c r="R33" s="15"/>
      <c r="S33" s="15"/>
      <c r="T33" s="15"/>
      <c r="U33" s="15"/>
      <c r="V33" s="15"/>
      <c r="W33" s="15"/>
      <c r="X33" s="15"/>
      <c r="Y33" s="15"/>
      <c r="Z33" s="15"/>
      <c r="AA33" s="15"/>
      <c r="AB33" s="15"/>
      <c r="AC33" s="15"/>
    </row>
    <row r="34" spans="1:29" ht="13.2">
      <c r="A34" s="13"/>
      <c r="B34" s="15"/>
      <c r="C34" s="15"/>
      <c r="D34" s="15"/>
      <c r="E34" s="15"/>
      <c r="F34" s="12"/>
      <c r="G34" s="15"/>
      <c r="H34" s="15"/>
      <c r="I34" s="15"/>
      <c r="J34" s="15"/>
      <c r="K34" s="15"/>
      <c r="L34" s="15"/>
      <c r="M34" s="15"/>
      <c r="N34" s="15"/>
      <c r="O34" s="15"/>
      <c r="P34" s="15"/>
      <c r="Q34" s="15"/>
      <c r="R34" s="15"/>
      <c r="S34" s="15"/>
      <c r="T34" s="15"/>
      <c r="U34" s="15"/>
      <c r="V34" s="15"/>
      <c r="W34" s="15"/>
      <c r="X34" s="15"/>
      <c r="Y34" s="15"/>
      <c r="Z34" s="15"/>
      <c r="AA34" s="15"/>
      <c r="AB34" s="15"/>
      <c r="AC34" s="15"/>
    </row>
    <row r="35" spans="1:29" ht="13.2">
      <c r="A35" s="13"/>
      <c r="B35" s="15"/>
      <c r="C35" s="15"/>
      <c r="D35" s="15"/>
      <c r="E35" s="15"/>
      <c r="F35" s="12"/>
      <c r="G35" s="15"/>
      <c r="H35" s="15"/>
      <c r="I35" s="15"/>
      <c r="J35" s="15"/>
      <c r="K35" s="15"/>
      <c r="L35" s="15"/>
      <c r="M35" s="15"/>
      <c r="N35" s="15"/>
      <c r="O35" s="15"/>
      <c r="P35" s="15"/>
      <c r="Q35" s="15"/>
      <c r="R35" s="15"/>
      <c r="S35" s="15"/>
      <c r="T35" s="15"/>
      <c r="U35" s="15"/>
      <c r="V35" s="15"/>
      <c r="W35" s="15"/>
      <c r="X35" s="15"/>
      <c r="Y35" s="15"/>
      <c r="Z35" s="15"/>
      <c r="AA35" s="15"/>
      <c r="AB35" s="15"/>
      <c r="AC35" s="15"/>
    </row>
    <row r="36" spans="1:29" ht="13.2">
      <c r="A36" s="53"/>
      <c r="C36" s="15"/>
      <c r="D36" s="15"/>
      <c r="E36" s="15"/>
      <c r="F36" s="12"/>
      <c r="G36" s="15"/>
      <c r="H36" s="15"/>
      <c r="I36" s="15"/>
      <c r="J36" s="15"/>
      <c r="K36" s="15"/>
      <c r="L36" s="15"/>
      <c r="M36" s="15"/>
      <c r="N36" s="15"/>
      <c r="O36" s="15"/>
      <c r="P36" s="15"/>
      <c r="Q36" s="15"/>
      <c r="R36" s="15"/>
      <c r="S36" s="15"/>
      <c r="T36" s="15"/>
      <c r="U36" s="15"/>
      <c r="V36" s="15"/>
      <c r="W36" s="15"/>
      <c r="X36" s="15"/>
      <c r="Y36" s="15"/>
      <c r="Z36" s="15"/>
      <c r="AA36" s="15"/>
      <c r="AB36" s="15"/>
      <c r="AC36" s="15"/>
    </row>
    <row r="37" spans="1:29" ht="13.2">
      <c r="A37" s="13"/>
      <c r="C37" s="15"/>
      <c r="D37" s="15"/>
      <c r="E37" s="15"/>
      <c r="F37" s="12"/>
      <c r="G37" s="15"/>
      <c r="H37" s="15"/>
      <c r="I37" s="15"/>
      <c r="J37" s="15"/>
      <c r="K37" s="15"/>
      <c r="L37" s="15"/>
      <c r="M37" s="15"/>
      <c r="N37" s="15"/>
      <c r="O37" s="15"/>
      <c r="P37" s="15"/>
      <c r="Q37" s="15"/>
      <c r="R37" s="15"/>
      <c r="S37" s="15"/>
      <c r="T37" s="15"/>
      <c r="U37" s="15"/>
      <c r="V37" s="15"/>
      <c r="W37" s="15"/>
      <c r="X37" s="15"/>
      <c r="Y37" s="15"/>
      <c r="Z37" s="15"/>
      <c r="AA37" s="15"/>
      <c r="AB37" s="15"/>
      <c r="AC37" s="15"/>
    </row>
    <row r="38" spans="1:29" ht="13.2">
      <c r="A38" s="13"/>
      <c r="C38" s="15"/>
      <c r="D38" s="15"/>
      <c r="E38" s="15"/>
      <c r="F38" s="12"/>
      <c r="G38" s="15"/>
      <c r="H38" s="15"/>
      <c r="I38" s="15"/>
      <c r="J38" s="15"/>
      <c r="K38" s="15"/>
      <c r="L38" s="15"/>
      <c r="M38" s="15"/>
      <c r="N38" s="15"/>
      <c r="O38" s="15"/>
      <c r="P38" s="15"/>
      <c r="Q38" s="15"/>
      <c r="R38" s="15"/>
      <c r="S38" s="15"/>
      <c r="T38" s="15"/>
      <c r="U38" s="15"/>
      <c r="V38" s="15"/>
      <c r="W38" s="15"/>
      <c r="X38" s="15"/>
      <c r="Y38" s="15"/>
      <c r="Z38" s="15"/>
      <c r="AA38" s="15"/>
      <c r="AB38" s="15"/>
      <c r="AC38" s="15"/>
    </row>
    <row r="39" spans="1:29" ht="13.2">
      <c r="A39" s="13"/>
      <c r="C39" s="15"/>
      <c r="D39" s="15"/>
      <c r="E39" s="15"/>
      <c r="F39" s="12"/>
      <c r="G39" s="15"/>
      <c r="H39" s="15"/>
      <c r="I39" s="15"/>
      <c r="J39" s="15"/>
      <c r="K39" s="15"/>
      <c r="L39" s="15"/>
      <c r="M39" s="15"/>
      <c r="N39" s="15"/>
      <c r="O39" s="15"/>
      <c r="P39" s="15"/>
      <c r="Q39" s="15"/>
      <c r="R39" s="15"/>
      <c r="S39" s="15"/>
      <c r="T39" s="15"/>
      <c r="U39" s="15"/>
      <c r="V39" s="15"/>
      <c r="W39" s="15"/>
      <c r="X39" s="15"/>
      <c r="Y39" s="15"/>
      <c r="Z39" s="15"/>
      <c r="AA39" s="15"/>
      <c r="AB39" s="15"/>
      <c r="AC39" s="15"/>
    </row>
    <row r="40" spans="1:29" ht="13.2">
      <c r="A40" s="13"/>
      <c r="C40" s="15"/>
      <c r="D40" s="15"/>
      <c r="E40" s="15"/>
      <c r="F40" s="12"/>
      <c r="G40" s="15"/>
      <c r="H40" s="15"/>
      <c r="I40" s="15"/>
      <c r="J40" s="15"/>
      <c r="K40" s="15"/>
      <c r="L40" s="15"/>
      <c r="M40" s="15"/>
      <c r="N40" s="15"/>
      <c r="O40" s="15"/>
      <c r="P40" s="15"/>
      <c r="Q40" s="15"/>
      <c r="R40" s="15"/>
      <c r="S40" s="15"/>
      <c r="T40" s="15"/>
      <c r="U40" s="15"/>
      <c r="V40" s="15"/>
      <c r="W40" s="15"/>
      <c r="X40" s="15"/>
      <c r="Y40" s="15"/>
      <c r="Z40" s="15"/>
      <c r="AA40" s="15"/>
      <c r="AB40" s="15"/>
      <c r="AC40" s="15"/>
    </row>
    <row r="41" spans="1:29" ht="13.2">
      <c r="A41" s="13"/>
      <c r="B41" s="59"/>
      <c r="C41" s="15"/>
      <c r="D41" s="74"/>
      <c r="E41" s="15"/>
      <c r="F41" s="12"/>
      <c r="G41" s="15"/>
      <c r="H41" s="15"/>
      <c r="I41" s="15"/>
      <c r="J41" s="15"/>
      <c r="K41" s="15"/>
      <c r="L41" s="15"/>
      <c r="M41" s="15"/>
      <c r="N41" s="15"/>
      <c r="O41" s="15"/>
      <c r="P41" s="15"/>
      <c r="Q41" s="15"/>
      <c r="R41" s="15"/>
      <c r="S41" s="15"/>
      <c r="T41" s="15"/>
      <c r="U41" s="15"/>
      <c r="V41" s="15"/>
      <c r="W41" s="15"/>
      <c r="X41" s="15"/>
      <c r="Y41" s="15"/>
      <c r="Z41" s="15"/>
      <c r="AA41" s="15"/>
      <c r="AB41" s="15"/>
      <c r="AC41" s="15"/>
    </row>
    <row r="42" spans="1:29" ht="13.2">
      <c r="A42" s="13"/>
      <c r="C42" s="15"/>
      <c r="D42" s="15"/>
      <c r="E42" s="15"/>
      <c r="F42" s="12"/>
      <c r="G42" s="15"/>
      <c r="H42" s="15"/>
      <c r="I42" s="15"/>
      <c r="J42" s="15"/>
      <c r="K42" s="15"/>
      <c r="L42" s="15"/>
      <c r="M42" s="15"/>
      <c r="N42" s="15"/>
      <c r="O42" s="15"/>
      <c r="P42" s="15"/>
      <c r="Q42" s="15"/>
      <c r="R42" s="15"/>
      <c r="S42" s="15"/>
      <c r="T42" s="15"/>
      <c r="U42" s="15"/>
      <c r="V42" s="15"/>
      <c r="W42" s="15"/>
      <c r="X42" s="15"/>
      <c r="Y42" s="15"/>
      <c r="Z42" s="15"/>
      <c r="AA42" s="15"/>
      <c r="AB42" s="15"/>
      <c r="AC42" s="15"/>
    </row>
    <row r="43" spans="1:29" ht="13.2">
      <c r="A43" s="13"/>
      <c r="C43" s="15"/>
      <c r="D43" s="15"/>
      <c r="E43" s="15"/>
      <c r="F43" s="12"/>
      <c r="G43" s="15"/>
      <c r="H43" s="15"/>
      <c r="I43" s="15"/>
      <c r="J43" s="15"/>
      <c r="K43" s="15"/>
      <c r="L43" s="15"/>
      <c r="M43" s="15"/>
      <c r="N43" s="15"/>
      <c r="O43" s="15"/>
      <c r="P43" s="15"/>
      <c r="Q43" s="15"/>
      <c r="R43" s="15"/>
      <c r="S43" s="15"/>
      <c r="T43" s="15"/>
      <c r="U43" s="15"/>
      <c r="V43" s="15"/>
      <c r="W43" s="15"/>
      <c r="X43" s="15"/>
      <c r="Y43" s="15"/>
      <c r="Z43" s="15"/>
      <c r="AA43" s="15"/>
      <c r="AB43" s="15"/>
      <c r="AC43" s="15"/>
    </row>
    <row r="44" spans="1:29" ht="13.2">
      <c r="A44" s="13"/>
      <c r="C44" s="15"/>
      <c r="D44" s="15"/>
      <c r="E44" s="15"/>
      <c r="F44" s="12"/>
      <c r="G44" s="15"/>
      <c r="H44" s="15"/>
      <c r="I44" s="15"/>
      <c r="J44" s="15"/>
      <c r="K44" s="15"/>
      <c r="L44" s="15"/>
      <c r="M44" s="15"/>
      <c r="N44" s="15"/>
      <c r="O44" s="15"/>
      <c r="P44" s="15"/>
      <c r="Q44" s="15"/>
      <c r="R44" s="15"/>
      <c r="S44" s="15"/>
      <c r="T44" s="15"/>
      <c r="U44" s="15"/>
      <c r="V44" s="15"/>
      <c r="W44" s="15"/>
      <c r="X44" s="15"/>
      <c r="Y44" s="15"/>
      <c r="Z44" s="15"/>
      <c r="AA44" s="15"/>
      <c r="AB44" s="15"/>
      <c r="AC44" s="15"/>
    </row>
    <row r="45" spans="1:29" ht="13.2">
      <c r="A45" s="13"/>
      <c r="B45" s="15"/>
      <c r="C45" s="15"/>
      <c r="D45" s="15"/>
      <c r="E45" s="15"/>
      <c r="F45" s="12"/>
      <c r="G45" s="15"/>
      <c r="H45" s="15"/>
      <c r="I45" s="15"/>
      <c r="J45" s="15"/>
      <c r="K45" s="15"/>
      <c r="L45" s="15"/>
      <c r="M45" s="15"/>
      <c r="N45" s="15"/>
      <c r="O45" s="15"/>
      <c r="P45" s="15"/>
      <c r="Q45" s="15"/>
      <c r="R45" s="15"/>
      <c r="S45" s="15"/>
      <c r="T45" s="15"/>
      <c r="U45" s="15"/>
      <c r="V45" s="15"/>
      <c r="W45" s="15"/>
      <c r="X45" s="15"/>
      <c r="Y45" s="15"/>
      <c r="Z45" s="15"/>
      <c r="AA45" s="15"/>
      <c r="AB45" s="15"/>
      <c r="AC45" s="15"/>
    </row>
    <row r="46" spans="1:29" ht="13.2">
      <c r="A46" s="13"/>
      <c r="B46" s="15"/>
      <c r="C46" s="15"/>
      <c r="D46" s="15"/>
      <c r="E46" s="15"/>
      <c r="F46" s="12"/>
      <c r="G46" s="15"/>
      <c r="H46" s="15"/>
      <c r="I46" s="15"/>
      <c r="J46" s="15"/>
      <c r="K46" s="15"/>
      <c r="L46" s="15"/>
      <c r="M46" s="15"/>
      <c r="N46" s="15"/>
      <c r="O46" s="15"/>
      <c r="P46" s="15"/>
      <c r="Q46" s="15"/>
      <c r="R46" s="15"/>
      <c r="S46" s="15"/>
      <c r="T46" s="15"/>
      <c r="U46" s="15"/>
      <c r="V46" s="15"/>
      <c r="W46" s="15"/>
      <c r="X46" s="15"/>
      <c r="Y46" s="15"/>
      <c r="Z46" s="15"/>
      <c r="AA46" s="15"/>
      <c r="AB46" s="15"/>
      <c r="AC46" s="15"/>
    </row>
    <row r="47" spans="1:29" ht="13.2">
      <c r="A47" s="13"/>
      <c r="B47" s="15"/>
      <c r="C47" s="15"/>
      <c r="D47" s="15"/>
      <c r="E47" s="15"/>
      <c r="F47" s="12"/>
      <c r="G47" s="15"/>
      <c r="H47" s="15"/>
      <c r="I47" s="15"/>
      <c r="J47" s="15"/>
      <c r="K47" s="15"/>
      <c r="L47" s="15"/>
      <c r="M47" s="15"/>
      <c r="N47" s="15"/>
      <c r="O47" s="15"/>
      <c r="P47" s="15"/>
      <c r="Q47" s="15"/>
      <c r="R47" s="15"/>
      <c r="S47" s="15"/>
      <c r="T47" s="15"/>
      <c r="U47" s="15"/>
      <c r="V47" s="15"/>
      <c r="W47" s="15"/>
      <c r="X47" s="15"/>
      <c r="Y47" s="15"/>
      <c r="Z47" s="15"/>
      <c r="AA47" s="15"/>
      <c r="AB47" s="15"/>
      <c r="AC47" s="15"/>
    </row>
    <row r="48" spans="1:29" ht="13.2">
      <c r="A48" s="13"/>
      <c r="B48" s="15"/>
      <c r="C48" s="15"/>
      <c r="D48" s="15"/>
      <c r="E48" s="15"/>
      <c r="F48" s="12"/>
      <c r="G48" s="15"/>
      <c r="H48" s="15"/>
      <c r="I48" s="15"/>
      <c r="J48" s="15"/>
      <c r="K48" s="15"/>
      <c r="L48" s="15"/>
      <c r="M48" s="15"/>
      <c r="N48" s="15"/>
      <c r="O48" s="15"/>
      <c r="P48" s="15"/>
      <c r="Q48" s="15"/>
      <c r="R48" s="15"/>
      <c r="S48" s="15"/>
      <c r="T48" s="15"/>
      <c r="U48" s="15"/>
      <c r="V48" s="15"/>
      <c r="W48" s="15"/>
      <c r="X48" s="15"/>
      <c r="Y48" s="15"/>
      <c r="Z48" s="15"/>
      <c r="AA48" s="15"/>
      <c r="AB48" s="15"/>
      <c r="AC48" s="15"/>
    </row>
    <row r="49" spans="1:29" ht="13.2">
      <c r="A49" s="13"/>
      <c r="B49" s="15"/>
      <c r="C49" s="15"/>
      <c r="D49" s="15"/>
      <c r="E49" s="15"/>
      <c r="F49" s="12"/>
      <c r="G49" s="15"/>
      <c r="H49" s="15"/>
      <c r="I49" s="15"/>
      <c r="J49" s="15"/>
      <c r="K49" s="15"/>
      <c r="L49" s="15"/>
      <c r="M49" s="15"/>
      <c r="N49" s="15"/>
      <c r="O49" s="15"/>
      <c r="P49" s="15"/>
      <c r="Q49" s="15"/>
      <c r="R49" s="15"/>
      <c r="S49" s="15"/>
      <c r="T49" s="15"/>
      <c r="U49" s="15"/>
      <c r="V49" s="15"/>
      <c r="W49" s="15"/>
      <c r="X49" s="15"/>
      <c r="Y49" s="15"/>
      <c r="Z49" s="15"/>
      <c r="AA49" s="15"/>
      <c r="AB49" s="15"/>
      <c r="AC49" s="15"/>
    </row>
    <row r="50" spans="1:29" ht="13.2">
      <c r="A50" s="13"/>
      <c r="B50" s="15"/>
      <c r="C50" s="15"/>
      <c r="D50" s="15"/>
      <c r="E50" s="15"/>
      <c r="F50" s="12"/>
      <c r="G50" s="15"/>
      <c r="H50" s="15"/>
      <c r="I50" s="15"/>
      <c r="J50" s="15"/>
      <c r="K50" s="15"/>
      <c r="L50" s="15"/>
      <c r="M50" s="15"/>
      <c r="N50" s="15"/>
      <c r="O50" s="15"/>
      <c r="P50" s="15"/>
      <c r="Q50" s="15"/>
      <c r="R50" s="15"/>
      <c r="S50" s="15"/>
      <c r="T50" s="15"/>
      <c r="U50" s="15"/>
      <c r="V50" s="15"/>
      <c r="W50" s="15"/>
      <c r="X50" s="15"/>
      <c r="Y50" s="15"/>
      <c r="Z50" s="15"/>
      <c r="AA50" s="15"/>
      <c r="AB50" s="15"/>
      <c r="AC50" s="15"/>
    </row>
    <row r="51" spans="1:29" ht="13.2">
      <c r="A51" s="13"/>
      <c r="B51" s="15"/>
      <c r="C51" s="15"/>
      <c r="D51" s="15"/>
      <c r="E51" s="15"/>
      <c r="F51" s="12"/>
      <c r="G51" s="15"/>
      <c r="H51" s="15"/>
      <c r="I51" s="15"/>
      <c r="J51" s="15"/>
      <c r="K51" s="15"/>
      <c r="L51" s="15"/>
      <c r="M51" s="15"/>
      <c r="N51" s="15"/>
      <c r="O51" s="15"/>
      <c r="P51" s="15"/>
      <c r="Q51" s="15"/>
      <c r="R51" s="15"/>
      <c r="S51" s="15"/>
      <c r="T51" s="15"/>
      <c r="U51" s="15"/>
      <c r="V51" s="15"/>
      <c r="W51" s="15"/>
      <c r="X51" s="15"/>
      <c r="Y51" s="15"/>
      <c r="Z51" s="15"/>
      <c r="AA51" s="15"/>
      <c r="AB51" s="15"/>
      <c r="AC51" s="15"/>
    </row>
    <row r="52" spans="1:29" ht="13.2">
      <c r="A52" s="13"/>
      <c r="B52" s="15"/>
      <c r="C52" s="15"/>
      <c r="D52" s="15"/>
      <c r="E52" s="15"/>
      <c r="F52" s="12"/>
      <c r="G52" s="15"/>
      <c r="H52" s="15"/>
      <c r="I52" s="15"/>
      <c r="J52" s="15"/>
      <c r="K52" s="15"/>
      <c r="L52" s="15"/>
      <c r="M52" s="15"/>
      <c r="N52" s="15"/>
      <c r="O52" s="15"/>
      <c r="P52" s="15"/>
      <c r="Q52" s="15"/>
      <c r="R52" s="15"/>
      <c r="S52" s="15"/>
      <c r="T52" s="15"/>
      <c r="U52" s="15"/>
      <c r="V52" s="15"/>
      <c r="W52" s="15"/>
      <c r="X52" s="15"/>
      <c r="Y52" s="15"/>
      <c r="Z52" s="15"/>
      <c r="AA52" s="15"/>
      <c r="AB52" s="15"/>
      <c r="AC52" s="15"/>
    </row>
    <row r="53" spans="1:29" ht="13.2">
      <c r="A53" s="13"/>
      <c r="B53" s="15"/>
      <c r="C53" s="15"/>
      <c r="D53" s="15"/>
      <c r="E53" s="15"/>
      <c r="F53" s="12"/>
      <c r="G53" s="15"/>
      <c r="H53" s="15"/>
      <c r="I53" s="15"/>
      <c r="J53" s="15"/>
      <c r="K53" s="15"/>
      <c r="L53" s="15"/>
      <c r="M53" s="15"/>
      <c r="N53" s="15"/>
      <c r="O53" s="15"/>
      <c r="P53" s="15"/>
      <c r="Q53" s="15"/>
      <c r="R53" s="15"/>
      <c r="S53" s="15"/>
      <c r="T53" s="15"/>
      <c r="U53" s="15"/>
      <c r="V53" s="15"/>
      <c r="W53" s="15"/>
      <c r="X53" s="15"/>
      <c r="Y53" s="15"/>
      <c r="Z53" s="15"/>
      <c r="AA53" s="15"/>
      <c r="AB53" s="15"/>
      <c r="AC53" s="15"/>
    </row>
    <row r="54" spans="1:29" ht="13.2">
      <c r="A54" s="13"/>
      <c r="B54" s="15"/>
      <c r="C54" s="15"/>
      <c r="D54" s="15"/>
      <c r="E54" s="15"/>
      <c r="F54" s="12"/>
      <c r="G54" s="15"/>
      <c r="H54" s="15"/>
      <c r="I54" s="15"/>
      <c r="J54" s="15"/>
      <c r="K54" s="15"/>
      <c r="L54" s="15"/>
      <c r="M54" s="15"/>
      <c r="N54" s="15"/>
      <c r="O54" s="15"/>
      <c r="P54" s="15"/>
      <c r="Q54" s="15"/>
      <c r="R54" s="15"/>
      <c r="S54" s="15"/>
      <c r="T54" s="15"/>
      <c r="U54" s="15"/>
      <c r="V54" s="15"/>
      <c r="W54" s="15"/>
      <c r="X54" s="15"/>
      <c r="Y54" s="15"/>
      <c r="Z54" s="15"/>
      <c r="AA54" s="15"/>
      <c r="AB54" s="15"/>
      <c r="AC54" s="15"/>
    </row>
    <row r="55" spans="1:29" ht="13.2">
      <c r="A55" s="13"/>
      <c r="B55" s="15"/>
      <c r="C55" s="15"/>
      <c r="D55" s="15"/>
      <c r="E55" s="15"/>
      <c r="F55" s="12"/>
      <c r="G55" s="15"/>
      <c r="H55" s="15"/>
      <c r="I55" s="15"/>
      <c r="J55" s="15"/>
      <c r="K55" s="15"/>
      <c r="L55" s="15"/>
      <c r="M55" s="15"/>
      <c r="N55" s="15"/>
      <c r="O55" s="15"/>
      <c r="P55" s="15"/>
      <c r="Q55" s="15"/>
      <c r="R55" s="15"/>
      <c r="S55" s="15"/>
      <c r="T55" s="15"/>
      <c r="U55" s="15"/>
      <c r="V55" s="15"/>
      <c r="W55" s="15"/>
      <c r="X55" s="15"/>
      <c r="Y55" s="15"/>
      <c r="Z55" s="15"/>
      <c r="AA55" s="15"/>
      <c r="AB55" s="15"/>
      <c r="AC55" s="15"/>
    </row>
    <row r="56" spans="1:29" ht="13.2">
      <c r="A56" s="13"/>
      <c r="B56" s="15"/>
      <c r="C56" s="15"/>
      <c r="D56" s="15"/>
      <c r="E56" s="15"/>
      <c r="F56" s="12"/>
      <c r="G56" s="15"/>
      <c r="H56" s="15"/>
      <c r="I56" s="15"/>
      <c r="J56" s="15"/>
      <c r="K56" s="15"/>
      <c r="L56" s="15"/>
      <c r="M56" s="15"/>
      <c r="N56" s="15"/>
      <c r="O56" s="15"/>
      <c r="P56" s="15"/>
      <c r="Q56" s="15"/>
      <c r="R56" s="15"/>
      <c r="S56" s="15"/>
      <c r="T56" s="15"/>
      <c r="U56" s="15"/>
      <c r="V56" s="15"/>
      <c r="W56" s="15"/>
      <c r="X56" s="15"/>
      <c r="Y56" s="15"/>
      <c r="Z56" s="15"/>
      <c r="AA56" s="15"/>
      <c r="AB56" s="15"/>
      <c r="AC56" s="15"/>
    </row>
    <row r="57" spans="1:29" ht="13.2">
      <c r="A57" s="13"/>
      <c r="B57" s="15"/>
      <c r="C57" s="15"/>
      <c r="D57" s="15"/>
      <c r="E57" s="15"/>
      <c r="F57" s="12"/>
      <c r="G57" s="15"/>
      <c r="H57" s="15"/>
      <c r="I57" s="15"/>
      <c r="J57" s="15"/>
      <c r="K57" s="15"/>
      <c r="L57" s="15"/>
      <c r="M57" s="15"/>
      <c r="N57" s="15"/>
      <c r="O57" s="15"/>
      <c r="P57" s="15"/>
      <c r="Q57" s="15"/>
      <c r="R57" s="15"/>
      <c r="S57" s="15"/>
      <c r="T57" s="15"/>
      <c r="U57" s="15"/>
      <c r="V57" s="15"/>
      <c r="W57" s="15"/>
      <c r="X57" s="15"/>
      <c r="Y57" s="15"/>
      <c r="Z57" s="15"/>
      <c r="AA57" s="15"/>
      <c r="AB57" s="15"/>
      <c r="AC57" s="15"/>
    </row>
    <row r="58" spans="1:29" ht="13.2">
      <c r="A58" s="13"/>
      <c r="B58" s="15"/>
      <c r="C58" s="15"/>
      <c r="D58" s="15"/>
      <c r="E58" s="15"/>
      <c r="F58" s="12"/>
      <c r="G58" s="15"/>
      <c r="H58" s="15"/>
      <c r="I58" s="15"/>
      <c r="J58" s="15"/>
      <c r="K58" s="15"/>
      <c r="L58" s="15"/>
      <c r="M58" s="15"/>
      <c r="N58" s="15"/>
      <c r="O58" s="15"/>
      <c r="P58" s="15"/>
      <c r="Q58" s="15"/>
      <c r="R58" s="15"/>
      <c r="S58" s="15"/>
      <c r="T58" s="15"/>
      <c r="U58" s="15"/>
      <c r="V58" s="15"/>
      <c r="W58" s="15"/>
      <c r="X58" s="15"/>
      <c r="Y58" s="15"/>
      <c r="Z58" s="15"/>
      <c r="AA58" s="15"/>
      <c r="AB58" s="15"/>
      <c r="AC58" s="15"/>
    </row>
    <row r="59" spans="1:29" ht="13.2">
      <c r="A59" s="13"/>
      <c r="B59" s="15"/>
      <c r="C59" s="15"/>
      <c r="D59" s="15"/>
      <c r="E59" s="15"/>
      <c r="F59" s="12"/>
      <c r="G59" s="15"/>
      <c r="H59" s="15"/>
      <c r="I59" s="15"/>
      <c r="J59" s="15"/>
      <c r="K59" s="15"/>
      <c r="L59" s="15"/>
      <c r="M59" s="15"/>
      <c r="N59" s="15"/>
      <c r="O59" s="15"/>
      <c r="P59" s="15"/>
      <c r="Q59" s="15"/>
      <c r="R59" s="15"/>
      <c r="S59" s="15"/>
      <c r="T59" s="15"/>
      <c r="U59" s="15"/>
      <c r="V59" s="15"/>
      <c r="W59" s="15"/>
      <c r="X59" s="15"/>
      <c r="Y59" s="15"/>
      <c r="Z59" s="15"/>
      <c r="AA59" s="15"/>
      <c r="AB59" s="15"/>
      <c r="AC59" s="15"/>
    </row>
    <row r="60" spans="1:29" ht="13.2">
      <c r="A60" s="13"/>
      <c r="B60" s="15"/>
      <c r="C60" s="15"/>
      <c r="D60" s="15"/>
      <c r="E60" s="15"/>
      <c r="F60" s="12"/>
      <c r="G60" s="15"/>
      <c r="H60" s="15"/>
      <c r="I60" s="15"/>
      <c r="J60" s="15"/>
      <c r="K60" s="15"/>
      <c r="L60" s="15"/>
      <c r="M60" s="15"/>
      <c r="N60" s="15"/>
      <c r="O60" s="15"/>
      <c r="P60" s="15"/>
      <c r="Q60" s="15"/>
      <c r="R60" s="15"/>
      <c r="S60" s="15"/>
      <c r="T60" s="15"/>
      <c r="U60" s="15"/>
      <c r="V60" s="15"/>
      <c r="W60" s="15"/>
      <c r="X60" s="15"/>
      <c r="Y60" s="15"/>
      <c r="Z60" s="15"/>
      <c r="AA60" s="15"/>
      <c r="AB60" s="15"/>
      <c r="AC60" s="15"/>
    </row>
    <row r="61" spans="1:29" ht="13.2">
      <c r="A61" s="13"/>
      <c r="B61" s="15"/>
      <c r="C61" s="15"/>
      <c r="D61" s="15"/>
      <c r="E61" s="15"/>
      <c r="F61" s="12"/>
      <c r="G61" s="15"/>
      <c r="H61" s="15"/>
      <c r="I61" s="15"/>
      <c r="J61" s="15"/>
      <c r="K61" s="15"/>
      <c r="L61" s="15"/>
      <c r="M61" s="15"/>
      <c r="N61" s="15"/>
      <c r="O61" s="15"/>
      <c r="P61" s="15"/>
      <c r="Q61" s="15"/>
      <c r="R61" s="15"/>
      <c r="S61" s="15"/>
      <c r="T61" s="15"/>
      <c r="U61" s="15"/>
      <c r="V61" s="15"/>
      <c r="W61" s="15"/>
      <c r="X61" s="15"/>
      <c r="Y61" s="15"/>
      <c r="Z61" s="15"/>
      <c r="AA61" s="15"/>
      <c r="AB61" s="15"/>
      <c r="AC61" s="15"/>
    </row>
    <row r="62" spans="1:29" ht="13.2">
      <c r="A62" s="13"/>
      <c r="B62" s="15"/>
      <c r="C62" s="15"/>
      <c r="D62" s="15"/>
      <c r="E62" s="15"/>
      <c r="F62" s="12"/>
      <c r="G62" s="15"/>
      <c r="H62" s="15"/>
      <c r="I62" s="15"/>
      <c r="J62" s="15"/>
      <c r="K62" s="15"/>
      <c r="L62" s="15"/>
      <c r="M62" s="15"/>
      <c r="N62" s="15"/>
      <c r="O62" s="15"/>
      <c r="P62" s="15"/>
      <c r="Q62" s="15"/>
      <c r="R62" s="15"/>
      <c r="S62" s="15"/>
      <c r="T62" s="15"/>
      <c r="U62" s="15"/>
      <c r="V62" s="15"/>
      <c r="W62" s="15"/>
      <c r="X62" s="15"/>
      <c r="Y62" s="15"/>
      <c r="Z62" s="15"/>
      <c r="AA62" s="15"/>
      <c r="AB62" s="15"/>
      <c r="AC62" s="15"/>
    </row>
    <row r="63" spans="1:29" ht="13.2">
      <c r="A63" s="13"/>
      <c r="B63" s="15"/>
      <c r="C63" s="15"/>
      <c r="D63" s="15"/>
      <c r="E63" s="15"/>
      <c r="F63" s="12"/>
      <c r="G63" s="15"/>
      <c r="H63" s="15"/>
      <c r="I63" s="15"/>
      <c r="J63" s="15"/>
      <c r="K63" s="15"/>
      <c r="L63" s="15"/>
      <c r="M63" s="15"/>
      <c r="N63" s="15"/>
      <c r="O63" s="15"/>
      <c r="P63" s="15"/>
      <c r="Q63" s="15"/>
      <c r="R63" s="15"/>
      <c r="S63" s="15"/>
      <c r="T63" s="15"/>
      <c r="U63" s="15"/>
      <c r="V63" s="15"/>
      <c r="W63" s="15"/>
      <c r="X63" s="15"/>
      <c r="Y63" s="15"/>
      <c r="Z63" s="15"/>
      <c r="AA63" s="15"/>
      <c r="AB63" s="15"/>
      <c r="AC63" s="15"/>
    </row>
    <row r="64" spans="1:29" ht="13.2">
      <c r="A64" s="13"/>
      <c r="B64" s="15"/>
      <c r="C64" s="15"/>
      <c r="D64" s="15"/>
      <c r="E64" s="15"/>
      <c r="F64" s="12"/>
      <c r="G64" s="15"/>
      <c r="H64" s="15"/>
      <c r="I64" s="15"/>
      <c r="J64" s="15"/>
      <c r="K64" s="15"/>
      <c r="L64" s="15"/>
      <c r="M64" s="15"/>
      <c r="N64" s="15"/>
      <c r="O64" s="15"/>
      <c r="P64" s="15"/>
      <c r="Q64" s="15"/>
      <c r="R64" s="15"/>
      <c r="S64" s="15"/>
      <c r="T64" s="15"/>
      <c r="U64" s="15"/>
      <c r="V64" s="15"/>
      <c r="W64" s="15"/>
      <c r="X64" s="15"/>
      <c r="Y64" s="15"/>
      <c r="Z64" s="15"/>
      <c r="AA64" s="15"/>
      <c r="AB64" s="15"/>
      <c r="AC64" s="15"/>
    </row>
    <row r="65" spans="1:29" ht="13.2">
      <c r="A65" s="13"/>
      <c r="B65" s="15"/>
      <c r="C65" s="15"/>
      <c r="D65" s="15"/>
      <c r="E65" s="15"/>
      <c r="F65" s="12"/>
      <c r="G65" s="15"/>
      <c r="H65" s="15"/>
      <c r="I65" s="15"/>
      <c r="J65" s="15"/>
      <c r="K65" s="15"/>
      <c r="L65" s="15"/>
      <c r="M65" s="15"/>
      <c r="N65" s="15"/>
      <c r="O65" s="15"/>
      <c r="P65" s="15"/>
      <c r="Q65" s="15"/>
      <c r="R65" s="15"/>
      <c r="S65" s="15"/>
      <c r="T65" s="15"/>
      <c r="U65" s="15"/>
      <c r="V65" s="15"/>
      <c r="W65" s="15"/>
      <c r="X65" s="15"/>
      <c r="Y65" s="15"/>
      <c r="Z65" s="15"/>
      <c r="AA65" s="15"/>
      <c r="AB65" s="15"/>
      <c r="AC65" s="15"/>
    </row>
    <row r="66" spans="1:29" ht="13.2">
      <c r="A66" s="13"/>
      <c r="B66" s="15"/>
      <c r="C66" s="15"/>
      <c r="D66" s="15"/>
      <c r="E66" s="15"/>
      <c r="F66" s="12"/>
      <c r="G66" s="15"/>
      <c r="H66" s="15"/>
      <c r="I66" s="15"/>
      <c r="J66" s="15"/>
      <c r="K66" s="15"/>
      <c r="L66" s="15"/>
      <c r="M66" s="15"/>
      <c r="N66" s="15"/>
      <c r="O66" s="15"/>
      <c r="P66" s="15"/>
      <c r="Q66" s="15"/>
      <c r="R66" s="15"/>
      <c r="S66" s="15"/>
      <c r="T66" s="15"/>
      <c r="U66" s="15"/>
      <c r="V66" s="15"/>
      <c r="W66" s="15"/>
      <c r="X66" s="15"/>
      <c r="Y66" s="15"/>
      <c r="Z66" s="15"/>
      <c r="AA66" s="15"/>
      <c r="AB66" s="15"/>
      <c r="AC66" s="15"/>
    </row>
    <row r="67" spans="1:29" ht="13.2">
      <c r="A67" s="13"/>
      <c r="B67" s="15"/>
      <c r="C67" s="15"/>
      <c r="D67" s="15"/>
      <c r="E67" s="15"/>
      <c r="F67" s="12"/>
      <c r="G67" s="15"/>
      <c r="H67" s="15"/>
      <c r="I67" s="15"/>
      <c r="J67" s="15"/>
      <c r="K67" s="15"/>
      <c r="L67" s="15"/>
      <c r="M67" s="15"/>
      <c r="N67" s="15"/>
      <c r="O67" s="15"/>
      <c r="P67" s="15"/>
      <c r="Q67" s="15"/>
      <c r="R67" s="15"/>
      <c r="S67" s="15"/>
      <c r="T67" s="15"/>
      <c r="U67" s="15"/>
      <c r="V67" s="15"/>
      <c r="W67" s="15"/>
      <c r="X67" s="15"/>
      <c r="Y67" s="15"/>
      <c r="Z67" s="15"/>
      <c r="AA67" s="15"/>
      <c r="AB67" s="15"/>
      <c r="AC67" s="15"/>
    </row>
    <row r="68" spans="1:29" ht="13.2">
      <c r="A68" s="13"/>
      <c r="B68" s="15"/>
      <c r="C68" s="15"/>
      <c r="D68" s="15"/>
      <c r="E68" s="15"/>
      <c r="F68" s="12"/>
      <c r="G68" s="15"/>
      <c r="H68" s="15"/>
      <c r="I68" s="15"/>
      <c r="J68" s="15"/>
      <c r="K68" s="15"/>
      <c r="L68" s="15"/>
      <c r="M68" s="15"/>
      <c r="N68" s="15"/>
      <c r="O68" s="15"/>
      <c r="P68" s="15"/>
      <c r="Q68" s="15"/>
      <c r="R68" s="15"/>
      <c r="S68" s="15"/>
      <c r="T68" s="15"/>
      <c r="U68" s="15"/>
      <c r="V68" s="15"/>
      <c r="W68" s="15"/>
      <c r="X68" s="15"/>
      <c r="Y68" s="15"/>
      <c r="Z68" s="15"/>
      <c r="AA68" s="15"/>
      <c r="AB68" s="15"/>
      <c r="AC68" s="15"/>
    </row>
    <row r="69" spans="1:29" ht="13.2">
      <c r="A69" s="13"/>
      <c r="B69" s="15"/>
      <c r="C69" s="15"/>
      <c r="D69" s="15"/>
      <c r="E69" s="15"/>
      <c r="F69" s="12"/>
      <c r="G69" s="15"/>
      <c r="H69" s="15"/>
      <c r="I69" s="15"/>
      <c r="J69" s="15"/>
      <c r="K69" s="15"/>
      <c r="L69" s="15"/>
      <c r="M69" s="15"/>
      <c r="N69" s="15"/>
      <c r="O69" s="15"/>
      <c r="P69" s="15"/>
      <c r="Q69" s="15"/>
      <c r="R69" s="15"/>
      <c r="S69" s="15"/>
      <c r="T69" s="15"/>
      <c r="U69" s="15"/>
      <c r="V69" s="15"/>
      <c r="W69" s="15"/>
      <c r="X69" s="15"/>
      <c r="Y69" s="15"/>
      <c r="Z69" s="15"/>
      <c r="AA69" s="15"/>
      <c r="AB69" s="15"/>
      <c r="AC69" s="15"/>
    </row>
    <row r="70" spans="1:29" ht="13.2">
      <c r="A70" s="13"/>
      <c r="B70" s="15"/>
      <c r="C70" s="15"/>
      <c r="D70" s="15"/>
      <c r="E70" s="15"/>
      <c r="F70" s="12"/>
      <c r="G70" s="15"/>
      <c r="H70" s="15"/>
      <c r="I70" s="15"/>
      <c r="J70" s="15"/>
      <c r="K70" s="15"/>
      <c r="L70" s="15"/>
      <c r="M70" s="15"/>
      <c r="N70" s="15"/>
      <c r="O70" s="15"/>
      <c r="P70" s="15"/>
      <c r="Q70" s="15"/>
      <c r="R70" s="15"/>
      <c r="S70" s="15"/>
      <c r="T70" s="15"/>
      <c r="U70" s="15"/>
      <c r="V70" s="15"/>
      <c r="W70" s="15"/>
      <c r="X70" s="15"/>
      <c r="Y70" s="15"/>
      <c r="Z70" s="15"/>
      <c r="AA70" s="15"/>
      <c r="AB70" s="15"/>
      <c r="AC70" s="15"/>
    </row>
    <row r="71" spans="1:29" ht="13.2">
      <c r="A71" s="13"/>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row>
    <row r="72" spans="1:29" ht="13.2">
      <c r="A72" s="13"/>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spans="1:29" ht="13.2">
      <c r="A73" s="13"/>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row>
    <row r="74" spans="1:29" ht="13.2">
      <c r="A74" s="13"/>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row>
    <row r="75" spans="1:29" ht="15">
      <c r="A75" s="13"/>
      <c r="B75" s="73"/>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row>
    <row r="76" spans="1:29" ht="15">
      <c r="A76" s="13"/>
      <c r="B76" s="73"/>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row>
    <row r="77" spans="1:29" ht="13.2">
      <c r="A77" s="13"/>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row>
    <row r="78" spans="1:29" ht="13.2">
      <c r="A78" s="13"/>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row>
    <row r="79" spans="1:29" ht="13.2">
      <c r="A79" s="13"/>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row>
    <row r="80" spans="1:29" ht="13.2">
      <c r="A80" s="13"/>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row>
    <row r="81" spans="1:29" ht="13.2">
      <c r="A81" s="13"/>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row>
    <row r="82" spans="1:29" ht="13.2">
      <c r="A82" s="13"/>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row>
    <row r="83" spans="1:29" ht="13.2">
      <c r="A83" s="13"/>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row>
    <row r="84" spans="1:29" ht="13.2">
      <c r="A84" s="13"/>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row>
    <row r="85" spans="1:29" ht="13.2">
      <c r="A85" s="13"/>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row>
    <row r="86" spans="1:29" ht="13.2">
      <c r="A86" s="13"/>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row>
    <row r="87" spans="1:29" ht="13.2">
      <c r="A87" s="13"/>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row>
    <row r="88" spans="1:29" ht="13.2">
      <c r="A88" s="13"/>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row>
    <row r="89" spans="1:29" ht="13.2">
      <c r="A89" s="13"/>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row>
    <row r="90" spans="1:29" ht="13.2">
      <c r="A90" s="13"/>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row>
    <row r="91" spans="1:29" ht="13.2">
      <c r="A91" s="13"/>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row>
    <row r="92" spans="1:29" ht="13.2">
      <c r="A92" s="13"/>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row>
    <row r="93" spans="1:29" ht="13.2">
      <c r="A93" s="13"/>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row>
    <row r="94" spans="1:29" ht="13.2">
      <c r="A94" s="13"/>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row>
    <row r="95" spans="1:29" ht="13.2">
      <c r="A95" s="13"/>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row>
    <row r="96" spans="1:29" ht="13.2">
      <c r="A96" s="13"/>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row>
    <row r="97" spans="1:29" ht="13.2">
      <c r="A97" s="13"/>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row>
    <row r="98" spans="1:29" ht="13.2">
      <c r="A98" s="13"/>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row>
    <row r="99" spans="1:29" ht="13.2">
      <c r="A99" s="13"/>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row>
    <row r="100" spans="1:29" ht="13.2">
      <c r="A100" s="13"/>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row>
    <row r="101" spans="1:29" ht="13.2">
      <c r="A101" s="13"/>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row>
    <row r="102" spans="1:29" ht="13.2">
      <c r="A102" s="13"/>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row>
    <row r="103" spans="1:29" ht="13.2">
      <c r="A103" s="13"/>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row>
    <row r="104" spans="1:29" ht="13.2">
      <c r="A104" s="13"/>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row>
    <row r="105" spans="1:29" ht="13.2">
      <c r="A105" s="13"/>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row>
    <row r="106" spans="1:29" ht="13.2">
      <c r="A106" s="13"/>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row>
    <row r="107" spans="1:29" ht="13.2">
      <c r="A107" s="13"/>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row>
    <row r="108" spans="1:29" ht="13.2">
      <c r="A108" s="13"/>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row>
    <row r="109" spans="1:29" ht="13.2">
      <c r="A109" s="13"/>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row>
    <row r="110" spans="1:29" ht="13.2">
      <c r="A110" s="13"/>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row>
    <row r="111" spans="1:29" ht="13.2">
      <c r="A111" s="13"/>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row>
    <row r="112" spans="1:29" ht="13.2">
      <c r="A112" s="13"/>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row>
    <row r="113" spans="1:29" ht="13.2">
      <c r="A113" s="13"/>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row>
    <row r="114" spans="1:29" ht="13.2">
      <c r="A114" s="13"/>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row>
    <row r="115" spans="1:29" ht="13.2">
      <c r="A115" s="13"/>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row>
    <row r="116" spans="1:29" ht="13.2">
      <c r="A116" s="13"/>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row>
    <row r="117" spans="1:29" ht="13.2">
      <c r="A117" s="13"/>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row>
    <row r="118" spans="1:29" ht="13.2">
      <c r="A118" s="13"/>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row>
    <row r="119" spans="1:29" ht="13.2">
      <c r="A119" s="13"/>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row>
    <row r="120" spans="1:29" ht="13.2">
      <c r="A120" s="13"/>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row>
    <row r="121" spans="1:29" ht="13.2">
      <c r="A121" s="13"/>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row>
    <row r="122" spans="1:29" ht="13.2">
      <c r="A122" s="13"/>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row>
    <row r="123" spans="1:29" ht="13.2">
      <c r="A123" s="13"/>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row>
    <row r="124" spans="1:29" ht="13.2">
      <c r="A124" s="13"/>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row>
    <row r="125" spans="1:29" ht="13.2">
      <c r="A125" s="13"/>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row>
    <row r="126" spans="1:29" ht="13.2">
      <c r="A126" s="13"/>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row>
    <row r="127" spans="1:29" ht="13.2">
      <c r="A127" s="13"/>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row>
    <row r="128" spans="1:29" ht="13.2">
      <c r="A128" s="13"/>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row>
    <row r="129" spans="1:29" ht="13.2">
      <c r="A129" s="13"/>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row>
    <row r="130" spans="1:29" ht="13.2">
      <c r="A130" s="13"/>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row>
    <row r="131" spans="1:29" ht="13.2">
      <c r="A131" s="13"/>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row>
    <row r="132" spans="1:29" ht="13.2">
      <c r="A132" s="13"/>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row>
    <row r="133" spans="1:29" ht="13.2">
      <c r="A133" s="13"/>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row>
    <row r="134" spans="1:29" ht="13.2">
      <c r="A134" s="13"/>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row>
    <row r="135" spans="1:29" ht="13.2">
      <c r="A135" s="13"/>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row>
    <row r="136" spans="1:29" ht="13.2">
      <c r="A136" s="13"/>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row>
    <row r="137" spans="1:29" ht="13.2">
      <c r="A137" s="13"/>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row>
    <row r="138" spans="1:29" ht="13.2">
      <c r="A138" s="13"/>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row>
    <row r="139" spans="1:29" ht="13.2">
      <c r="A139" s="13"/>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row>
    <row r="140" spans="1:29" ht="13.2">
      <c r="A140" s="13"/>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row>
    <row r="141" spans="1:29" ht="13.2">
      <c r="A141" s="13"/>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row>
    <row r="142" spans="1:29" ht="13.2">
      <c r="A142" s="13"/>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row>
    <row r="143" spans="1:29" ht="13.2">
      <c r="A143" s="13"/>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row>
    <row r="144" spans="1:29" ht="13.2">
      <c r="A144" s="13"/>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row>
    <row r="145" spans="1:29" ht="13.2">
      <c r="A145" s="13"/>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spans="1:29" ht="13.2">
      <c r="A146" s="13"/>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row>
    <row r="147" spans="1:29" ht="13.2">
      <c r="A147" s="13"/>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row>
    <row r="148" spans="1:29" ht="13.2">
      <c r="A148" s="13"/>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row>
    <row r="149" spans="1:29" ht="13.2">
      <c r="A149" s="13"/>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row>
    <row r="150" spans="1:29" ht="13.2">
      <c r="A150" s="13"/>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row>
    <row r="151" spans="1:29" ht="13.2">
      <c r="A151" s="13"/>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row>
    <row r="152" spans="1:29" ht="13.2">
      <c r="A152" s="13"/>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row>
    <row r="153" spans="1:29" ht="13.2">
      <c r="A153" s="13"/>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row>
    <row r="154" spans="1:29" ht="13.2">
      <c r="A154" s="13"/>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row>
    <row r="155" spans="1:29" ht="13.2">
      <c r="A155" s="13"/>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row>
    <row r="156" spans="1:29" ht="13.2">
      <c r="A156" s="13"/>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row>
    <row r="157" spans="1:29" ht="13.2">
      <c r="A157" s="13"/>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row>
    <row r="158" spans="1:29" ht="13.2">
      <c r="A158" s="13"/>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row>
    <row r="159" spans="1:29" ht="13.2">
      <c r="A159" s="13"/>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row>
    <row r="160" spans="1:29" ht="13.2">
      <c r="A160" s="13"/>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row>
    <row r="161" spans="1:29" ht="13.2">
      <c r="A161" s="13"/>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row>
    <row r="162" spans="1:29" ht="13.2">
      <c r="A162" s="13"/>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row>
    <row r="163" spans="1:29" ht="13.2">
      <c r="A163" s="13"/>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row>
    <row r="164" spans="1:29" ht="13.2">
      <c r="A164" s="13"/>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row>
    <row r="165" spans="1:29" ht="13.2">
      <c r="A165" s="13"/>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row>
    <row r="166" spans="1:29" ht="13.2">
      <c r="A166" s="13"/>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row>
    <row r="167" spans="1:29" ht="13.2">
      <c r="A167" s="13"/>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row>
    <row r="168" spans="1:29" ht="13.2">
      <c r="A168" s="13"/>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row>
    <row r="169" spans="1:29" ht="13.2">
      <c r="A169" s="13"/>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row>
    <row r="170" spans="1:29" ht="13.2">
      <c r="A170" s="13"/>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row>
    <row r="171" spans="1:29" ht="13.2">
      <c r="A171" s="13"/>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row>
    <row r="172" spans="1:29" ht="13.2">
      <c r="A172" s="13"/>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row>
    <row r="173" spans="1:29" ht="13.2">
      <c r="A173" s="13"/>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row>
    <row r="174" spans="1:29" ht="13.2">
      <c r="A174" s="13"/>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row>
    <row r="175" spans="1:29" ht="13.2">
      <c r="A175" s="13"/>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row>
    <row r="176" spans="1:29" ht="13.2">
      <c r="A176" s="13"/>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row>
    <row r="177" spans="1:29" ht="13.2">
      <c r="A177" s="13"/>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row>
    <row r="178" spans="1:29" ht="13.2">
      <c r="A178" s="13"/>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row>
    <row r="179" spans="1:29" ht="13.2">
      <c r="A179" s="13"/>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row>
    <row r="180" spans="1:29" ht="13.2">
      <c r="A180" s="13"/>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row>
    <row r="181" spans="1:29" ht="13.2">
      <c r="A181" s="13"/>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row>
    <row r="182" spans="1:29" ht="13.2">
      <c r="A182" s="13"/>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row>
    <row r="183" spans="1:29" ht="13.2">
      <c r="A183" s="13"/>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row>
    <row r="184" spans="1:29" ht="13.2">
      <c r="A184" s="13"/>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row>
    <row r="185" spans="1:29" ht="13.2">
      <c r="A185" s="13"/>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row>
    <row r="186" spans="1:29" ht="13.2">
      <c r="A186" s="13"/>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row>
    <row r="187" spans="1:29" ht="13.2">
      <c r="A187" s="13"/>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row>
    <row r="188" spans="1:29" ht="13.2">
      <c r="A188" s="13"/>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row>
    <row r="189" spans="1:29" ht="13.2">
      <c r="A189" s="13"/>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row>
    <row r="190" spans="1:29" ht="13.2">
      <c r="A190" s="13"/>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row>
    <row r="191" spans="1:29" ht="13.2">
      <c r="A191" s="13"/>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row>
    <row r="192" spans="1:29" ht="13.2">
      <c r="A192" s="13"/>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row>
    <row r="193" spans="1:29" ht="13.2">
      <c r="A193" s="13"/>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row>
    <row r="194" spans="1:29" ht="13.2">
      <c r="A194" s="13"/>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row>
    <row r="195" spans="1:29" ht="13.2">
      <c r="A195" s="13"/>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row>
    <row r="196" spans="1:29" ht="13.2">
      <c r="A196" s="13"/>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row>
    <row r="197" spans="1:29" ht="13.2">
      <c r="A197" s="13"/>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row>
    <row r="198" spans="1:29" ht="13.2">
      <c r="A198" s="13"/>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row>
    <row r="199" spans="1:29" ht="13.2">
      <c r="A199" s="13"/>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row>
    <row r="200" spans="1:29" ht="13.2">
      <c r="A200" s="13"/>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spans="1:29" ht="13.2">
      <c r="A201" s="13"/>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spans="1:29" ht="13.2">
      <c r="A202" s="13"/>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spans="1:29" ht="13.2">
      <c r="A203" s="13"/>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spans="1:29" ht="13.2">
      <c r="A204" s="13"/>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spans="1:29" ht="13.2">
      <c r="A205" s="13"/>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spans="1:29" ht="13.2">
      <c r="A206" s="13"/>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spans="1:29" ht="13.2">
      <c r="A207" s="13"/>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spans="1:29" ht="13.2">
      <c r="A208" s="13"/>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spans="1:29" ht="13.2">
      <c r="A209" s="13"/>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spans="1:29" ht="13.2">
      <c r="A210" s="13"/>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spans="1:29" ht="13.2">
      <c r="A211" s="13"/>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spans="1:29" ht="13.2">
      <c r="A212" s="13"/>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spans="1:29" ht="13.2">
      <c r="A213" s="13"/>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spans="1:29" ht="13.2">
      <c r="A214" s="13"/>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spans="1:29" ht="13.2">
      <c r="A215" s="13"/>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spans="1:29" ht="13.2">
      <c r="A216" s="13"/>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spans="1:29" ht="13.2">
      <c r="A217" s="13"/>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spans="1:29" ht="13.2">
      <c r="A218" s="13"/>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spans="1:29" ht="13.2">
      <c r="A219" s="13"/>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spans="1:29" ht="13.2">
      <c r="A220" s="13"/>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spans="1:29" ht="13.2">
      <c r="A221" s="13"/>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spans="1:29" ht="13.2">
      <c r="A222" s="13"/>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spans="1:29" ht="13.2">
      <c r="A223" s="13"/>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spans="1:29" ht="13.2">
      <c r="A224" s="13"/>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spans="1:29" ht="13.2">
      <c r="A225" s="13"/>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spans="1:29" ht="13.2">
      <c r="A226" s="13"/>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spans="1:29" ht="13.2">
      <c r="A227" s="13"/>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spans="1:29" ht="13.2">
      <c r="A228" s="13"/>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spans="1:29" ht="13.2">
      <c r="A229" s="13"/>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spans="1:29" ht="13.2">
      <c r="A230" s="13"/>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spans="1:29" ht="13.2">
      <c r="A231" s="13"/>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spans="1:29" ht="13.2">
      <c r="A232" s="13"/>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spans="1:29" ht="13.2">
      <c r="A233" s="13"/>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spans="1:29" ht="13.2">
      <c r="A234" s="13"/>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spans="1:29" ht="13.2">
      <c r="A235" s="13"/>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spans="1:29" ht="13.2">
      <c r="A236" s="13"/>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spans="1:29" ht="13.2">
      <c r="A237" s="13"/>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spans="1:29" ht="13.2">
      <c r="A238" s="13"/>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spans="1:29" ht="13.2">
      <c r="A239" s="13"/>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spans="1:29" ht="13.2">
      <c r="A240" s="13"/>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spans="1:29" ht="13.2">
      <c r="A241" s="13"/>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spans="1:29" ht="13.2">
      <c r="A242" s="13"/>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spans="1:29" ht="13.2">
      <c r="A243" s="13"/>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spans="1:29" ht="13.2">
      <c r="A244" s="13"/>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spans="1:29" ht="13.2">
      <c r="A245" s="13"/>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spans="1:29" ht="13.2">
      <c r="A246" s="13"/>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spans="1:29" ht="13.2">
      <c r="A247" s="13"/>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spans="1:29" ht="13.2">
      <c r="A248" s="13"/>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spans="1:29" ht="13.2">
      <c r="A249" s="13"/>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spans="1:29" ht="13.2">
      <c r="A250" s="13"/>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spans="1:29" ht="13.2">
      <c r="A251" s="13"/>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spans="1:29" ht="13.2">
      <c r="A252" s="13"/>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spans="1:29" ht="13.2">
      <c r="A253" s="13"/>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spans="1:29" ht="13.2">
      <c r="A254" s="13"/>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spans="1:29" ht="13.2">
      <c r="A255" s="13"/>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spans="1:29" ht="13.2">
      <c r="A256" s="13"/>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spans="1:29" ht="13.2">
      <c r="A257" s="13"/>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spans="1:29" ht="13.2">
      <c r="A258" s="13"/>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spans="1:29" ht="13.2">
      <c r="A259" s="13"/>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spans="1:29" ht="13.2">
      <c r="A260" s="13"/>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spans="1:29" ht="13.2">
      <c r="A261" s="13"/>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spans="1:29" ht="13.2">
      <c r="A262" s="13"/>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spans="1:29" ht="13.2">
      <c r="A263" s="13"/>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spans="1:29" ht="13.2">
      <c r="A264" s="13"/>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spans="1:29" ht="13.2">
      <c r="A265" s="13"/>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spans="1:29" ht="13.2">
      <c r="A266" s="13"/>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spans="1:29" ht="13.2">
      <c r="A267" s="13"/>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spans="1:29" ht="13.2">
      <c r="A268" s="13"/>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spans="1:29" ht="13.2">
      <c r="A269" s="13"/>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spans="1:29" ht="13.2">
      <c r="A270" s="13"/>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spans="1:29" ht="13.2">
      <c r="A271" s="13"/>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spans="1:29" ht="13.2">
      <c r="A272" s="13"/>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spans="1:29" ht="13.2">
      <c r="A273" s="13"/>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spans="1:29" ht="13.2">
      <c r="A274" s="13"/>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spans="1:29" ht="13.2">
      <c r="A275" s="13"/>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spans="1:29" ht="13.2">
      <c r="A276" s="13"/>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spans="1:29" ht="13.2">
      <c r="A277" s="13"/>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spans="1:29" ht="13.2">
      <c r="A278" s="13"/>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spans="1:29" ht="13.2">
      <c r="A279" s="13"/>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spans="1:29" ht="13.2">
      <c r="A280" s="13"/>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spans="1:29" ht="13.2">
      <c r="A281" s="13"/>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spans="1:29" ht="13.2">
      <c r="A282" s="13"/>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spans="1:29" ht="13.2">
      <c r="A283" s="13"/>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spans="1:29" ht="13.2">
      <c r="A284" s="13"/>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spans="1:29" ht="13.2">
      <c r="A285" s="13"/>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spans="1:29" ht="13.2">
      <c r="A286" s="13"/>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spans="1:29" ht="13.2">
      <c r="A287" s="13"/>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spans="1:29" ht="13.2">
      <c r="A288" s="13"/>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spans="1:29" ht="13.2">
      <c r="A289" s="13"/>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spans="1:29" ht="13.2">
      <c r="A290" s="13"/>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spans="1:29" ht="13.2">
      <c r="A291" s="13"/>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spans="1:29" ht="13.2">
      <c r="A292" s="13"/>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spans="1:29" ht="13.2">
      <c r="A293" s="13"/>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spans="1:29" ht="13.2">
      <c r="A294" s="13"/>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spans="1:29" ht="13.2">
      <c r="A295" s="13"/>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spans="1:29" ht="13.2">
      <c r="A296" s="13"/>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spans="1:29" ht="13.2">
      <c r="A297" s="13"/>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spans="1:29" ht="13.2">
      <c r="A298" s="13"/>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spans="1:29" ht="13.2">
      <c r="A299" s="13"/>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spans="1:29" ht="13.2">
      <c r="A300" s="13"/>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spans="1:29" ht="13.2">
      <c r="A301" s="13"/>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spans="1:29" ht="13.2">
      <c r="A302" s="13"/>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spans="1:29" ht="13.2">
      <c r="A303" s="13"/>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spans="1:29" ht="13.2">
      <c r="A304" s="13"/>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spans="1:29" ht="13.2">
      <c r="A305" s="13"/>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spans="1:29" ht="13.2">
      <c r="A306" s="13"/>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spans="1:29" ht="13.2">
      <c r="A307" s="13"/>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spans="1:29" ht="13.2">
      <c r="A308" s="13"/>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spans="1:29" ht="13.2">
      <c r="A309" s="13"/>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spans="1:29" ht="13.2">
      <c r="A310" s="13"/>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spans="1:29" ht="13.2">
      <c r="A311" s="13"/>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spans="1:29" ht="13.2">
      <c r="A312" s="13"/>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spans="1:29" ht="13.2">
      <c r="A313" s="13"/>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spans="1:29" ht="13.2">
      <c r="A314" s="13"/>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spans="1:29" ht="13.2">
      <c r="A315" s="13"/>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spans="1:29" ht="13.2">
      <c r="A316" s="13"/>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spans="1:29" ht="13.2">
      <c r="A317" s="13"/>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spans="1:29" ht="13.2">
      <c r="A318" s="13"/>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spans="1:29" ht="13.2">
      <c r="A319" s="13"/>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spans="1:29" ht="13.2">
      <c r="A320" s="13"/>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spans="1:29" ht="13.2">
      <c r="A321" s="13"/>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spans="1:29" ht="13.2">
      <c r="A322" s="13"/>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spans="1:29" ht="13.2">
      <c r="A323" s="13"/>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spans="1:29" ht="13.2">
      <c r="A324" s="13"/>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spans="1:29" ht="13.2">
      <c r="A325" s="13"/>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spans="1:29" ht="13.2">
      <c r="A326" s="13"/>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spans="1:29" ht="13.2">
      <c r="A327" s="13"/>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spans="1:29" ht="13.2">
      <c r="A328" s="13"/>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spans="1:29" ht="13.2">
      <c r="A329" s="13"/>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spans="1:29" ht="13.2">
      <c r="A330" s="13"/>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spans="1:29" ht="13.2">
      <c r="A331" s="13"/>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spans="1:29" ht="13.2">
      <c r="A332" s="13"/>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spans="1:29" ht="13.2">
      <c r="A333" s="13"/>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spans="1:29" ht="13.2">
      <c r="A334" s="13"/>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spans="1:29" ht="13.2">
      <c r="A335" s="13"/>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spans="1:29" ht="13.2">
      <c r="A336" s="13"/>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spans="1:29" ht="13.2">
      <c r="A337" s="13"/>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spans="1:29" ht="13.2">
      <c r="A338" s="13"/>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spans="1:29" ht="13.2">
      <c r="A339" s="13"/>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spans="1:29" ht="13.2">
      <c r="A340" s="13"/>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spans="1:29" ht="13.2">
      <c r="A341" s="13"/>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spans="1:29" ht="13.2">
      <c r="A342" s="13"/>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spans="1:29" ht="13.2">
      <c r="A343" s="13"/>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spans="1:29" ht="13.2">
      <c r="A344" s="13"/>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spans="1:29" ht="13.2">
      <c r="A345" s="13"/>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spans="1:29" ht="13.2">
      <c r="A346" s="13"/>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spans="1:29" ht="13.2">
      <c r="A347" s="13"/>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spans="1:29" ht="13.2">
      <c r="A348" s="13"/>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spans="1:29" ht="13.2">
      <c r="A349" s="13"/>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spans="1:29" ht="13.2">
      <c r="A350" s="13"/>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spans="1:29" ht="13.2">
      <c r="A351" s="13"/>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spans="1:29" ht="13.2">
      <c r="A352" s="13"/>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spans="1:29" ht="13.2">
      <c r="A353" s="13"/>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spans="1:29" ht="13.2">
      <c r="A354" s="13"/>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spans="1:29" ht="13.2">
      <c r="A355" s="13"/>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spans="1:29" ht="13.2">
      <c r="A356" s="13"/>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spans="1:29" ht="13.2">
      <c r="A357" s="13"/>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spans="1:29" ht="13.2">
      <c r="A358" s="13"/>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spans="1:29" ht="13.2">
      <c r="A359" s="13"/>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spans="1:29" ht="13.2">
      <c r="A360" s="13"/>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spans="1:29" ht="13.2">
      <c r="A361" s="13"/>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spans="1:29" ht="13.2">
      <c r="A362" s="13"/>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spans="1:29" ht="13.2">
      <c r="A363" s="13"/>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spans="1:29" ht="13.2">
      <c r="A364" s="13"/>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spans="1:29" ht="13.2">
      <c r="A365" s="13"/>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spans="1:29" ht="13.2">
      <c r="A366" s="13"/>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spans="1:29" ht="13.2">
      <c r="A367" s="13"/>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spans="1:29" ht="13.2">
      <c r="A368" s="13"/>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spans="1:29" ht="13.2">
      <c r="A369" s="13"/>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spans="1:29" ht="13.2">
      <c r="A370" s="13"/>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spans="1:29" ht="13.2">
      <c r="A371" s="13"/>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spans="1:29" ht="13.2">
      <c r="A372" s="13"/>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spans="1:29" ht="13.2">
      <c r="A373" s="13"/>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spans="1:29" ht="13.2">
      <c r="A374" s="13"/>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spans="1:29" ht="13.2">
      <c r="A375" s="13"/>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spans="1:29" ht="13.2">
      <c r="A376" s="13"/>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spans="1:29" ht="13.2">
      <c r="A377" s="13"/>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spans="1:29" ht="13.2">
      <c r="A378" s="13"/>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spans="1:29" ht="13.2">
      <c r="A379" s="13"/>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spans="1:29" ht="13.2">
      <c r="A380" s="13"/>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spans="1:29" ht="13.2">
      <c r="A381" s="13"/>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spans="1:29" ht="13.2">
      <c r="A382" s="13"/>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spans="1:29" ht="13.2">
      <c r="A383" s="13"/>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spans="1:29" ht="13.2">
      <c r="A384" s="13"/>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spans="1:29" ht="13.2">
      <c r="A385" s="13"/>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spans="1:29" ht="13.2">
      <c r="A386" s="13"/>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spans="1:29" ht="13.2">
      <c r="A387" s="13"/>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spans="1:29" ht="13.2">
      <c r="A388" s="13"/>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spans="1:29" ht="13.2">
      <c r="A389" s="13"/>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spans="1:29" ht="13.2">
      <c r="A390" s="13"/>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spans="1:29" ht="13.2">
      <c r="A391" s="13"/>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spans="1:29" ht="13.2">
      <c r="A392" s="13"/>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spans="1:29" ht="13.2">
      <c r="A393" s="13"/>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spans="1:29" ht="13.2">
      <c r="A394" s="13"/>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spans="1:29" ht="13.2">
      <c r="A395" s="13"/>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spans="1:29" ht="13.2">
      <c r="A396" s="13"/>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spans="1:29" ht="13.2">
      <c r="A397" s="13"/>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spans="1:29" ht="13.2">
      <c r="A398" s="13"/>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spans="1:29" ht="13.2">
      <c r="A399" s="13"/>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spans="1:29" ht="13.2">
      <c r="A400" s="13"/>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spans="1:29" ht="13.2">
      <c r="A401" s="13"/>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spans="1:29" ht="13.2">
      <c r="A402" s="13"/>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spans="1:29" ht="13.2">
      <c r="A403" s="13"/>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spans="1:29" ht="13.2">
      <c r="A404" s="13"/>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spans="1:29" ht="13.2">
      <c r="A405" s="13"/>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spans="1:29" ht="13.2">
      <c r="A406" s="13"/>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spans="1:29" ht="13.2">
      <c r="A407" s="13"/>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spans="1:29" ht="13.2">
      <c r="A408" s="13"/>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spans="1:29" ht="13.2">
      <c r="A409" s="13"/>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spans="1:29" ht="13.2">
      <c r="A410" s="13"/>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spans="1:29" ht="13.2">
      <c r="A411" s="13"/>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spans="1:29" ht="13.2">
      <c r="A412" s="13"/>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spans="1:29" ht="13.2">
      <c r="A413" s="13"/>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spans="1:29" ht="13.2">
      <c r="A414" s="13"/>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spans="1:29" ht="13.2">
      <c r="A415" s="13"/>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spans="1:29" ht="13.2">
      <c r="A416" s="13"/>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spans="1:29" ht="13.2">
      <c r="A417" s="13"/>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spans="1:29" ht="13.2">
      <c r="A418" s="13"/>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spans="1:29" ht="13.2">
      <c r="A419" s="13"/>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spans="1:29" ht="13.2">
      <c r="A420" s="13"/>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spans="1:29" ht="13.2">
      <c r="A421" s="13"/>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spans="1:29" ht="13.2">
      <c r="A422" s="13"/>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spans="1:29" ht="13.2">
      <c r="A423" s="13"/>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spans="1:29" ht="13.2">
      <c r="A424" s="13"/>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spans="1:29" ht="13.2">
      <c r="A425" s="13"/>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spans="1:29" ht="13.2">
      <c r="A426" s="13"/>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spans="1:29" ht="13.2">
      <c r="A427" s="13"/>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spans="1:29" ht="13.2">
      <c r="A428" s="13"/>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spans="1:29" ht="13.2">
      <c r="A429" s="13"/>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spans="1:29" ht="13.2">
      <c r="A430" s="13"/>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spans="1:29" ht="13.2">
      <c r="A431" s="13"/>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spans="1:29" ht="13.2">
      <c r="A432" s="13"/>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spans="1:29" ht="13.2">
      <c r="A433" s="13"/>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spans="1:29" ht="13.2">
      <c r="A434" s="13"/>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spans="1:29" ht="13.2">
      <c r="A435" s="13"/>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spans="1:29" ht="13.2">
      <c r="A436" s="13"/>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spans="1:29" ht="13.2">
      <c r="A437" s="13"/>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spans="1:29" ht="13.2">
      <c r="A438" s="13"/>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spans="1:29" ht="13.2">
      <c r="A439" s="13"/>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spans="1:29" ht="13.2">
      <c r="A440" s="13"/>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spans="1:29" ht="13.2">
      <c r="A441" s="13"/>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spans="1:29" ht="13.2">
      <c r="A442" s="13"/>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spans="1:29" ht="13.2">
      <c r="A443" s="13"/>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spans="1:29" ht="13.2">
      <c r="A444" s="13"/>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spans="1:29" ht="13.2">
      <c r="A445" s="13"/>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spans="1:29" ht="13.2">
      <c r="A446" s="13"/>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spans="1:29" ht="13.2">
      <c r="A447" s="13"/>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spans="1:29" ht="13.2">
      <c r="A448" s="13"/>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spans="1:29" ht="13.2">
      <c r="A449" s="13"/>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spans="1:29" ht="13.2">
      <c r="A450" s="13"/>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spans="1:29" ht="13.2">
      <c r="A451" s="13"/>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spans="1:29" ht="13.2">
      <c r="A452" s="13"/>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spans="1:29" ht="13.2">
      <c r="A453" s="13"/>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spans="1:29" ht="13.2">
      <c r="A454" s="13"/>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spans="1:29" ht="13.2">
      <c r="A455" s="13"/>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spans="1:29" ht="13.2">
      <c r="A456" s="13"/>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spans="1:29" ht="13.2">
      <c r="A457" s="13"/>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spans="1:29" ht="13.2">
      <c r="A458" s="13"/>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spans="1:29" ht="13.2">
      <c r="A459" s="13"/>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spans="1:29" ht="13.2">
      <c r="A460" s="13"/>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spans="1:29" ht="13.2">
      <c r="A461" s="13"/>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spans="1:29" ht="13.2">
      <c r="A462" s="13"/>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spans="1:29" ht="13.2">
      <c r="A463" s="13"/>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spans="1:29" ht="13.2">
      <c r="A464" s="13"/>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spans="1:29" ht="13.2">
      <c r="A465" s="13"/>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spans="1:29" ht="13.2">
      <c r="A466" s="13"/>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spans="1:29" ht="13.2">
      <c r="A467" s="13"/>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spans="1:29" ht="13.2">
      <c r="A468" s="13"/>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spans="1:29" ht="13.2">
      <c r="A469" s="13"/>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spans="1:29" ht="13.2">
      <c r="A470" s="13"/>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spans="1:29" ht="13.2">
      <c r="A471" s="13"/>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spans="1:29" ht="13.2">
      <c r="A472" s="13"/>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spans="1:29" ht="13.2">
      <c r="A473" s="13"/>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spans="1:29" ht="13.2">
      <c r="A474" s="13"/>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spans="1:29" ht="13.2">
      <c r="A475" s="13"/>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spans="1:29" ht="13.2">
      <c r="A476" s="13"/>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spans="1:29" ht="13.2">
      <c r="A477" s="13"/>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spans="1:29" ht="13.2">
      <c r="A478" s="13"/>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spans="1:29" ht="13.2">
      <c r="A479" s="13"/>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spans="1:29" ht="13.2">
      <c r="A480" s="13"/>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spans="1:29" ht="13.2">
      <c r="A481" s="13"/>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spans="1:29" ht="13.2">
      <c r="A482" s="13"/>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spans="1:29" ht="13.2">
      <c r="A483" s="13"/>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spans="1:29" ht="13.2">
      <c r="A484" s="13"/>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spans="1:29" ht="13.2">
      <c r="A485" s="13"/>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spans="1:29" ht="13.2">
      <c r="A486" s="13"/>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spans="1:29" ht="13.2">
      <c r="A487" s="13"/>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spans="1:29" ht="13.2">
      <c r="A488" s="13"/>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spans="1:29" ht="13.2">
      <c r="A489" s="13"/>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spans="1:29" ht="13.2">
      <c r="A490" s="13"/>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spans="1:29" ht="13.2">
      <c r="A491" s="13"/>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spans="1:29" ht="13.2">
      <c r="A492" s="13"/>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spans="1:29" ht="13.2">
      <c r="A493" s="13"/>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spans="1:29" ht="13.2">
      <c r="A494" s="13"/>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spans="1:29" ht="13.2">
      <c r="A495" s="13"/>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spans="1:29" ht="13.2">
      <c r="A496" s="13"/>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spans="1:29" ht="13.2">
      <c r="A497" s="13"/>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spans="1:29" ht="13.2">
      <c r="A498" s="13"/>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spans="1:29" ht="13.2">
      <c r="A499" s="13"/>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spans="1:29" ht="13.2">
      <c r="A500" s="13"/>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spans="1:29" ht="13.2">
      <c r="A501" s="13"/>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spans="1:29" ht="13.2">
      <c r="A502" s="13"/>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spans="1:29" ht="13.2">
      <c r="A503" s="13"/>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spans="1:29" ht="13.2">
      <c r="A504" s="13"/>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spans="1:29" ht="13.2">
      <c r="A505" s="13"/>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spans="1:29" ht="13.2">
      <c r="A506" s="13"/>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spans="1:29" ht="13.2">
      <c r="A507" s="13"/>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spans="1:29" ht="13.2">
      <c r="A508" s="13"/>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spans="1:29" ht="13.2">
      <c r="A509" s="13"/>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spans="1:29" ht="13.2">
      <c r="A510" s="13"/>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spans="1:29" ht="13.2">
      <c r="A511" s="13"/>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spans="1:29" ht="13.2">
      <c r="A512" s="13"/>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spans="1:29" ht="13.2">
      <c r="A513" s="13"/>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spans="1:29" ht="13.2">
      <c r="A514" s="13"/>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spans="1:29" ht="13.2">
      <c r="A515" s="13"/>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spans="1:29" ht="13.2">
      <c r="A516" s="13"/>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spans="1:29" ht="13.2">
      <c r="A517" s="13"/>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spans="1:29" ht="13.2">
      <c r="A518" s="13"/>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spans="1:29" ht="13.2">
      <c r="A519" s="13"/>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spans="1:29" ht="13.2">
      <c r="A520" s="13"/>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spans="1:29" ht="13.2">
      <c r="A521" s="13"/>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spans="1:29" ht="13.2">
      <c r="A522" s="13"/>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spans="1:29" ht="13.2">
      <c r="A523" s="13"/>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spans="1:29" ht="13.2">
      <c r="A524" s="13"/>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spans="1:29" ht="13.2">
      <c r="A525" s="13"/>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spans="1:29" ht="13.2">
      <c r="A526" s="13"/>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spans="1:29" ht="13.2">
      <c r="A527" s="13"/>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spans="1:29" ht="13.2">
      <c r="A528" s="13"/>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spans="1:29" ht="13.2">
      <c r="A529" s="13"/>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spans="1:29" ht="13.2">
      <c r="A530" s="13"/>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spans="1:29" ht="13.2">
      <c r="A531" s="13"/>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spans="1:29" ht="13.2">
      <c r="A532" s="13"/>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spans="1:29" ht="13.2">
      <c r="A533" s="13"/>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spans="1:29" ht="13.2">
      <c r="A534" s="13"/>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spans="1:29" ht="13.2">
      <c r="A535" s="13"/>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spans="1:29" ht="13.2">
      <c r="A536" s="13"/>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spans="1:29" ht="13.2">
      <c r="A537" s="13"/>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spans="1:29" ht="13.2">
      <c r="A538" s="13"/>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spans="1:29" ht="13.2">
      <c r="A539" s="13"/>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spans="1:29" ht="13.2">
      <c r="A540" s="13"/>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spans="1:29" ht="13.2">
      <c r="A541" s="13"/>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spans="1:29" ht="13.2">
      <c r="A542" s="13"/>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spans="1:29" ht="13.2">
      <c r="A543" s="13"/>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spans="1:29" ht="13.2">
      <c r="A544" s="13"/>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spans="1:29" ht="13.2">
      <c r="A545" s="13"/>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spans="1:29" ht="13.2">
      <c r="A546" s="13"/>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spans="1:29" ht="13.2">
      <c r="A547" s="13"/>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spans="1:29" ht="13.2">
      <c r="A548" s="13"/>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spans="1:29" ht="13.2">
      <c r="A549" s="13"/>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spans="1:29" ht="13.2">
      <c r="A550" s="13"/>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spans="1:29" ht="13.2">
      <c r="A551" s="13"/>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spans="1:29" ht="13.2">
      <c r="A552" s="13"/>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spans="1:29" ht="13.2">
      <c r="A553" s="13"/>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spans="1:29" ht="13.2">
      <c r="A554" s="13"/>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spans="1:29" ht="13.2">
      <c r="A555" s="13"/>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spans="1:29" ht="13.2">
      <c r="A556" s="13"/>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spans="1:29" ht="13.2">
      <c r="A557" s="13"/>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spans="1:29" ht="13.2">
      <c r="A558" s="13"/>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spans="1:29" ht="13.2">
      <c r="A559" s="13"/>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spans="1:29" ht="13.2">
      <c r="A560" s="13"/>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spans="1:29" ht="13.2">
      <c r="A561" s="13"/>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spans="1:29" ht="13.2">
      <c r="A562" s="13"/>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spans="1:29" ht="13.2">
      <c r="A563" s="13"/>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spans="1:29" ht="13.2">
      <c r="A564" s="13"/>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spans="1:29" ht="13.2">
      <c r="A565" s="13"/>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spans="1:29" ht="13.2">
      <c r="A566" s="13"/>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spans="1:29" ht="13.2">
      <c r="A567" s="13"/>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spans="1:29" ht="13.2">
      <c r="A568" s="13"/>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spans="1:29" ht="13.2">
      <c r="A569" s="13"/>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spans="1:29" ht="13.2">
      <c r="A570" s="13"/>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spans="1:29" ht="13.2">
      <c r="A571" s="13"/>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spans="1:29" ht="13.2">
      <c r="A572" s="13"/>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spans="1:29" ht="13.2">
      <c r="A573" s="13"/>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spans="1:29" ht="13.2">
      <c r="A574" s="13"/>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spans="1:29" ht="13.2">
      <c r="A575" s="13"/>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spans="1:29" ht="13.2">
      <c r="A576" s="13"/>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spans="1:29" ht="13.2">
      <c r="A577" s="13"/>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spans="1:29" ht="13.2">
      <c r="A578" s="13"/>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spans="1:29" ht="13.2">
      <c r="A579" s="13"/>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spans="1:29" ht="13.2">
      <c r="A580" s="13"/>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spans="1:29" ht="13.2">
      <c r="A581" s="13"/>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spans="1:29" ht="13.2">
      <c r="A582" s="13"/>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spans="1:29" ht="13.2">
      <c r="A583" s="13"/>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spans="1:29" ht="13.2">
      <c r="A584" s="13"/>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spans="1:29" ht="13.2">
      <c r="A585" s="13"/>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spans="1:29" ht="13.2">
      <c r="A586" s="13"/>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spans="1:29" ht="13.2">
      <c r="A587" s="13"/>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spans="1:29" ht="13.2">
      <c r="A588" s="13"/>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spans="1:29" ht="13.2">
      <c r="A589" s="13"/>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spans="1:29" ht="13.2">
      <c r="A590" s="13"/>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spans="1:29" ht="13.2">
      <c r="A591" s="13"/>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spans="1:29" ht="13.2">
      <c r="A592" s="13"/>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spans="1:29" ht="13.2">
      <c r="A593" s="13"/>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spans="1:29" ht="13.2">
      <c r="A594" s="13"/>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spans="1:29" ht="13.2">
      <c r="A595" s="13"/>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spans="1:29" ht="13.2">
      <c r="A596" s="13"/>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spans="1:29" ht="13.2">
      <c r="A597" s="13"/>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spans="1:29" ht="13.2">
      <c r="A598" s="13"/>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spans="1:29" ht="13.2">
      <c r="A599" s="13"/>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spans="1:29" ht="13.2">
      <c r="A600" s="13"/>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spans="1:29" ht="13.2">
      <c r="A601" s="13"/>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spans="1:29" ht="13.2">
      <c r="A602" s="13"/>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spans="1:29" ht="13.2">
      <c r="A603" s="13"/>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spans="1:29" ht="13.2">
      <c r="A604" s="13"/>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spans="1:29" ht="13.2">
      <c r="A605" s="13"/>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spans="1:29" ht="13.2">
      <c r="A606" s="13"/>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spans="1:29" ht="13.2">
      <c r="A607" s="13"/>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spans="1:29" ht="13.2">
      <c r="A608" s="13"/>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spans="1:29" ht="13.2">
      <c r="A609" s="13"/>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spans="1:29" ht="13.2">
      <c r="A610" s="13"/>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spans="1:29" ht="13.2">
      <c r="A611" s="13"/>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spans="1:29" ht="13.2">
      <c r="A612" s="13"/>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spans="1:29" ht="13.2">
      <c r="A613" s="13"/>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spans="1:29" ht="13.2">
      <c r="A614" s="13"/>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spans="1:29" ht="13.2">
      <c r="A615" s="13"/>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spans="1:29" ht="13.2">
      <c r="A616" s="13"/>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spans="1:29" ht="13.2">
      <c r="A617" s="13"/>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spans="1:29" ht="13.2">
      <c r="A618" s="13"/>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spans="1:29" ht="13.2">
      <c r="A619" s="13"/>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spans="1:29" ht="13.2">
      <c r="A620" s="13"/>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spans="1:29" ht="13.2">
      <c r="A621" s="13"/>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spans="1:29" ht="13.2">
      <c r="A622" s="13"/>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spans="1:29" ht="13.2">
      <c r="A623" s="13"/>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spans="1:29" ht="13.2">
      <c r="A624" s="13"/>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spans="1:29" ht="13.2">
      <c r="A625" s="13"/>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spans="1:29" ht="13.2">
      <c r="A626" s="13"/>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spans="1:29" ht="13.2">
      <c r="A627" s="13"/>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spans="1:29" ht="13.2">
      <c r="A628" s="13"/>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spans="1:29" ht="13.2">
      <c r="A629" s="13"/>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spans="1:29" ht="13.2">
      <c r="A630" s="13"/>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spans="1:29" ht="13.2">
      <c r="A631" s="13"/>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spans="1:29" ht="13.2">
      <c r="A632" s="13"/>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spans="1:29" ht="13.2">
      <c r="A633" s="13"/>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spans="1:29" ht="13.2">
      <c r="A634" s="13"/>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spans="1:29" ht="13.2">
      <c r="A635" s="13"/>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spans="1:29" ht="13.2">
      <c r="A636" s="13"/>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spans="1:29" ht="13.2">
      <c r="A637" s="13"/>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spans="1:29" ht="13.2">
      <c r="A638" s="13"/>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spans="1:29" ht="13.2">
      <c r="A639" s="13"/>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spans="1:29" ht="13.2">
      <c r="A640" s="13"/>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spans="1:29" ht="13.2">
      <c r="A641" s="13"/>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spans="1:29" ht="13.2">
      <c r="A642" s="13"/>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spans="1:29" ht="13.2">
      <c r="A643" s="13"/>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spans="1:29" ht="13.2">
      <c r="A644" s="13"/>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spans="1:29" ht="13.2">
      <c r="A645" s="13"/>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spans="1:29" ht="13.2">
      <c r="A646" s="13"/>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spans="1:29" ht="13.2">
      <c r="A647" s="13"/>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spans="1:29" ht="13.2">
      <c r="A648" s="13"/>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spans="1:29" ht="13.2">
      <c r="A649" s="13"/>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spans="1:29" ht="13.2">
      <c r="A650" s="13"/>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spans="1:29" ht="13.2">
      <c r="A651" s="13"/>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spans="1:29" ht="13.2">
      <c r="A652" s="13"/>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spans="1:29" ht="13.2">
      <c r="A653" s="13"/>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spans="1:29" ht="13.2">
      <c r="A654" s="13"/>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spans="1:29" ht="13.2">
      <c r="A655" s="13"/>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spans="1:29" ht="13.2">
      <c r="A656" s="13"/>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spans="1:29" ht="13.2">
      <c r="A657" s="13"/>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spans="1:29" ht="13.2">
      <c r="A658" s="13"/>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spans="1:29" ht="13.2">
      <c r="A659" s="13"/>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spans="1:29" ht="13.2">
      <c r="A660" s="13"/>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spans="1:29" ht="13.2">
      <c r="A661" s="13"/>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spans="1:29" ht="13.2">
      <c r="A662" s="13"/>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spans="1:29" ht="13.2">
      <c r="A663" s="13"/>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spans="1:29" ht="13.2">
      <c r="A664" s="13"/>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spans="1:29" ht="13.2">
      <c r="A665" s="13"/>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spans="1:29" ht="13.2">
      <c r="A666" s="13"/>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spans="1:29" ht="13.2">
      <c r="A667" s="13"/>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spans="1:29" ht="13.2">
      <c r="A668" s="13"/>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spans="1:29" ht="13.2">
      <c r="A669" s="13"/>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spans="1:29" ht="13.2">
      <c r="A670" s="13"/>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spans="1:29" ht="13.2">
      <c r="A671" s="13"/>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spans="1:29" ht="13.2">
      <c r="A672" s="13"/>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spans="1:29" ht="13.2">
      <c r="A673" s="13"/>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spans="1:29" ht="13.2">
      <c r="A674" s="13"/>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spans="1:29" ht="13.2">
      <c r="A675" s="13"/>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spans="1:29" ht="13.2">
      <c r="A676" s="13"/>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spans="1:29" ht="13.2">
      <c r="A677" s="13"/>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spans="1:29" ht="13.2">
      <c r="A678" s="13"/>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spans="1:29" ht="13.2">
      <c r="A679" s="13"/>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spans="1:29" ht="13.2">
      <c r="A680" s="13"/>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spans="1:29" ht="13.2">
      <c r="A681" s="13"/>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spans="1:29" ht="13.2">
      <c r="A682" s="13"/>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spans="1:29" ht="13.2">
      <c r="A683" s="13"/>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spans="1:29" ht="13.2">
      <c r="A684" s="13"/>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spans="1:29" ht="13.2">
      <c r="A685" s="13"/>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spans="1:29" ht="13.2">
      <c r="A686" s="13"/>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spans="1:29" ht="13.2">
      <c r="A687" s="13"/>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spans="1:29" ht="13.2">
      <c r="A688" s="13"/>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spans="1:29" ht="13.2">
      <c r="A689" s="13"/>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spans="1:29" ht="13.2">
      <c r="A690" s="13"/>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spans="1:29" ht="13.2">
      <c r="A691" s="13"/>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spans="1:29" ht="13.2">
      <c r="A692" s="13"/>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spans="1:29" ht="13.2">
      <c r="A693" s="13"/>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spans="1:29" ht="13.2">
      <c r="A694" s="13"/>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spans="1:29" ht="13.2">
      <c r="A695" s="13"/>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spans="1:29" ht="13.2">
      <c r="A696" s="13"/>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spans="1:29" ht="13.2">
      <c r="A697" s="13"/>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spans="1:29" ht="13.2">
      <c r="A698" s="13"/>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spans="1:29" ht="13.2">
      <c r="A699" s="13"/>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spans="1:29" ht="13.2">
      <c r="A700" s="13"/>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spans="1:29" ht="13.2">
      <c r="A701" s="13"/>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spans="1:29" ht="13.2">
      <c r="A702" s="13"/>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spans="1:29" ht="13.2">
      <c r="A703" s="13"/>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spans="1:29" ht="13.2">
      <c r="A704" s="13"/>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spans="1:29" ht="13.2">
      <c r="A705" s="13"/>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spans="1:29" ht="13.2">
      <c r="A706" s="13"/>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spans="1:29" ht="13.2">
      <c r="A707" s="13"/>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spans="1:29" ht="13.2">
      <c r="A708" s="13"/>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spans="1:29" ht="13.2">
      <c r="A709" s="13"/>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spans="1:29" ht="13.2">
      <c r="A710" s="13"/>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spans="1:29" ht="13.2">
      <c r="A711" s="13"/>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spans="1:29" ht="13.2">
      <c r="A712" s="13"/>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spans="1:29" ht="13.2">
      <c r="A713" s="13"/>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spans="1:29" ht="13.2">
      <c r="A714" s="13"/>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spans="1:29" ht="13.2">
      <c r="A715" s="13"/>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spans="1:29" ht="13.2">
      <c r="A716" s="13"/>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spans="1:29" ht="13.2">
      <c r="A717" s="13"/>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spans="1:29" ht="13.2">
      <c r="A718" s="13"/>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spans="1:29" ht="13.2">
      <c r="A719" s="13"/>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spans="1:29" ht="13.2">
      <c r="A720" s="13"/>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spans="1:29" ht="13.2">
      <c r="A721" s="13"/>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spans="1:29" ht="13.2">
      <c r="A722" s="13"/>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spans="1:29" ht="13.2">
      <c r="A723" s="13"/>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spans="1:29" ht="13.2">
      <c r="A724" s="13"/>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spans="1:29" ht="13.2">
      <c r="A725" s="13"/>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spans="1:29" ht="13.2">
      <c r="A726" s="13"/>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spans="1:29" ht="13.2">
      <c r="A727" s="13"/>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spans="1:29" ht="13.2">
      <c r="A728" s="13"/>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spans="1:29" ht="13.2">
      <c r="A729" s="13"/>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spans="1:29" ht="13.2">
      <c r="A730" s="13"/>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spans="1:29" ht="13.2">
      <c r="A731" s="13"/>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spans="1:29" ht="13.2">
      <c r="A732" s="13"/>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spans="1:29" ht="13.2">
      <c r="A733" s="13"/>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spans="1:29" ht="13.2">
      <c r="A734" s="13"/>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spans="1:29" ht="13.2">
      <c r="A735" s="13"/>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spans="1:29" ht="13.2">
      <c r="A736" s="13"/>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spans="1:29" ht="13.2">
      <c r="A737" s="13"/>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spans="1:29" ht="13.2">
      <c r="A738" s="13"/>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spans="1:29" ht="13.2">
      <c r="A739" s="13"/>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spans="1:29" ht="13.2">
      <c r="A740" s="13"/>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spans="1:29" ht="13.2">
      <c r="A741" s="13"/>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spans="1:29" ht="13.2">
      <c r="A742" s="13"/>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spans="1:29" ht="13.2">
      <c r="A743" s="13"/>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spans="1:29" ht="13.2">
      <c r="A744" s="13"/>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spans="1:29" ht="13.2">
      <c r="A745" s="13"/>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spans="1:29" ht="13.2">
      <c r="A746" s="13"/>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spans="1:29" ht="13.2">
      <c r="A747" s="13"/>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spans="1:29" ht="13.2">
      <c r="A748" s="13"/>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spans="1:29" ht="13.2">
      <c r="A749" s="13"/>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spans="1:29" ht="13.2">
      <c r="A750" s="13"/>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spans="1:29" ht="13.2">
      <c r="A751" s="13"/>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spans="1:29" ht="13.2">
      <c r="A752" s="13"/>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spans="1:29" ht="13.2">
      <c r="A753" s="13"/>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spans="1:29" ht="13.2">
      <c r="A754" s="13"/>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spans="1:29" ht="13.2">
      <c r="A755" s="13"/>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spans="1:29" ht="13.2">
      <c r="A756" s="13"/>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spans="1:29" ht="13.2">
      <c r="A757" s="13"/>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spans="1:29" ht="13.2">
      <c r="A758" s="13"/>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spans="1:29" ht="13.2">
      <c r="A759" s="13"/>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spans="1:29" ht="13.2">
      <c r="A760" s="13"/>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spans="1:29" ht="13.2">
      <c r="A761" s="13"/>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spans="1:29" ht="13.2">
      <c r="A762" s="13"/>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spans="1:29" ht="13.2">
      <c r="A763" s="13"/>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spans="1:29" ht="13.2">
      <c r="A764" s="13"/>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spans="1:29" ht="13.2">
      <c r="A765" s="13"/>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spans="1:29" ht="13.2">
      <c r="A766" s="13"/>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spans="1:29" ht="13.2">
      <c r="A767" s="13"/>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spans="1:29" ht="13.2">
      <c r="A768" s="13"/>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spans="1:29" ht="13.2">
      <c r="A769" s="13"/>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spans="1:29" ht="13.2">
      <c r="A770" s="13"/>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spans="1:29" ht="13.2">
      <c r="A771" s="13"/>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spans="1:29" ht="13.2">
      <c r="A772" s="13"/>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spans="1:29" ht="13.2">
      <c r="A773" s="13"/>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spans="1:29" ht="13.2">
      <c r="A774" s="13"/>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spans="1:29" ht="13.2">
      <c r="A775" s="13"/>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spans="1:29" ht="13.2">
      <c r="A776" s="13"/>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spans="1:29" ht="13.2">
      <c r="A777" s="13"/>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spans="1:29" ht="13.2">
      <c r="A778" s="13"/>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spans="1:29" ht="13.2">
      <c r="A779" s="13"/>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spans="1:29" ht="13.2">
      <c r="A780" s="13"/>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spans="1:29" ht="13.2">
      <c r="A781" s="13"/>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spans="1:29" ht="13.2">
      <c r="A782" s="13"/>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spans="1:29" ht="13.2">
      <c r="A783" s="13"/>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spans="1:29" ht="13.2">
      <c r="A784" s="13"/>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spans="1:29" ht="13.2">
      <c r="A785" s="13"/>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spans="1:29" ht="13.2">
      <c r="A786" s="13"/>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spans="1:29" ht="13.2">
      <c r="A787" s="13"/>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spans="1:29" ht="13.2">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spans="1:29" ht="13.2">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spans="1:29" ht="13.2">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spans="1:29" ht="13.2">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spans="1:29" ht="13.2">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spans="1:29" ht="13.2">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spans="1:29" ht="13.2">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spans="1:29" ht="13.2">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spans="1:29" ht="13.2">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spans="1:29" ht="13.2">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spans="1:29" ht="13.2">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spans="1:29" ht="13.2">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spans="1:29" ht="13.2">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spans="2:29" ht="13.2">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spans="2:29" ht="13.2">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spans="2:29" ht="13.2">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spans="2:29" ht="13.2">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spans="2:29" ht="13.2">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spans="2:29" ht="13.2">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spans="2:29" ht="13.2">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spans="2:29" ht="13.2">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spans="2:29" ht="13.2">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spans="2:29" ht="13.2">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spans="2:29" ht="13.2">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spans="2:29" ht="13.2">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spans="2:29" ht="13.2">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spans="2:29" ht="13.2">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spans="2:29" ht="13.2">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spans="2:29" ht="13.2">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spans="2:29" ht="13.2">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spans="2:29" ht="13.2">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spans="2:29" ht="13.2">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spans="2:29" ht="13.2">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spans="2:29" ht="13.2">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spans="2:29" ht="13.2">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spans="2:29" ht="13.2">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spans="2:29" ht="13.2">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spans="2:29" ht="13.2">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spans="2:29" ht="13.2">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spans="2:29" ht="13.2">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spans="2:29" ht="13.2">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spans="2:29" ht="13.2">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spans="2:29" ht="13.2">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spans="2:29" ht="13.2">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spans="2:29" ht="13.2">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spans="2:29" ht="13.2">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spans="2:29" ht="13.2">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spans="2:29" ht="13.2">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spans="2:29" ht="13.2">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spans="2:29" ht="13.2">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spans="2:29" ht="13.2">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spans="2:29" ht="13.2">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spans="2:29" ht="13.2">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spans="2:29" ht="13.2">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spans="2:29" ht="13.2">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spans="2:29" ht="13.2">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spans="2:29" ht="13.2">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spans="2:29" ht="13.2">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spans="2:29" ht="13.2">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spans="2:29" ht="13.2">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spans="2:29" ht="13.2">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spans="2:29" ht="13.2">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spans="2:29" ht="13.2">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spans="2:29" ht="13.2">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spans="2:29" ht="13.2">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spans="2:29" ht="13.2">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spans="2:29" ht="13.2">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spans="2:29" ht="13.2">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spans="2:29" ht="13.2">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spans="2:29" ht="13.2">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spans="2:29" ht="13.2">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spans="2:29" ht="13.2">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spans="2:29" ht="13.2">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spans="2:29" ht="13.2">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spans="2:29" ht="13.2">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spans="2:29" ht="13.2">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spans="2:29" ht="13.2">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spans="2:29" ht="13.2">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spans="2:29" ht="13.2">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spans="2:29" ht="13.2">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spans="2:29" ht="13.2">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spans="2:29" ht="13.2">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spans="2:29" ht="13.2">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spans="2:29" ht="13.2">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spans="2:29" ht="13.2">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spans="2:29" ht="13.2">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spans="2:29" ht="13.2">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spans="2:29" ht="13.2">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spans="2:29" ht="13.2">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spans="2:29" ht="13.2">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spans="2:29" ht="13.2">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spans="2:29" ht="13.2">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spans="2:29" ht="13.2">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spans="2:29" ht="13.2">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spans="2:29" ht="13.2">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spans="2:29" ht="13.2">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spans="2:29" ht="13.2">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spans="2:29" ht="13.2">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spans="2:29" ht="13.2">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spans="2:29" ht="13.2">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spans="2:29" ht="13.2">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spans="2:29" ht="13.2">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spans="2:29" ht="13.2">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spans="2:29" ht="13.2">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spans="2:29" ht="13.2">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spans="2:29" ht="13.2">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spans="2:29" ht="13.2">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spans="2:29" ht="13.2">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spans="2:29" ht="13.2">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spans="2:29" ht="13.2">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spans="2:29" ht="13.2">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spans="2:29" ht="13.2">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spans="2:29" ht="13.2">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spans="2:29" ht="13.2">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spans="2:29" ht="13.2">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spans="2:29" ht="13.2">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spans="2:29" ht="13.2">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spans="2:29" ht="13.2">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spans="2:29" ht="13.2">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spans="2:29" ht="13.2">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spans="2:29" ht="13.2">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spans="2:29" ht="13.2">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spans="2:29" ht="13.2">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spans="2:29" ht="13.2">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spans="2:29" ht="13.2">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spans="2:29" ht="13.2">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spans="2:29" ht="13.2">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spans="2:29" ht="13.2">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spans="2:29" ht="13.2">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spans="2:29" ht="13.2">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spans="2:29" ht="13.2">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spans="2:29" ht="13.2">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spans="2:29" ht="13.2">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spans="2:29" ht="13.2">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spans="2:29" ht="13.2">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spans="2:29" ht="13.2">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spans="2:29" ht="13.2">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spans="2:29" ht="13.2">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spans="2:29" ht="13.2">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spans="2:29" ht="13.2">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spans="2:29" ht="13.2">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spans="2:29" ht="13.2">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spans="2:29" ht="13.2">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spans="2:29" ht="13.2">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spans="2:29" ht="13.2">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spans="2:29" ht="13.2">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spans="2:29" ht="13.2">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spans="2:29" ht="13.2">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spans="2:29" ht="13.2">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spans="2:29" ht="13.2">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spans="2:29" ht="13.2">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spans="2:29" ht="13.2">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spans="2:29" ht="13.2">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spans="2:29" ht="13.2">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spans="2:29" ht="13.2">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spans="2:29" ht="13.2">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spans="2:29" ht="13.2">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spans="2:29" ht="13.2">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spans="2:29" ht="13.2">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spans="2:29" ht="13.2">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spans="2:29" ht="13.2">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spans="2:29" ht="13.2">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spans="2:29" ht="13.2">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row r="951" spans="2:29" ht="13.2">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row>
    <row r="952" spans="2:29" ht="13.2">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row>
    <row r="953" spans="2:29" ht="13.2">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row>
    <row r="954" spans="2:29" ht="13.2">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row>
    <row r="955" spans="2:29" ht="13.2">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row>
    <row r="956" spans="2:29" ht="13.2">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row>
    <row r="957" spans="2:29" ht="13.2">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row>
    <row r="958" spans="2:29" ht="13.2">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row>
    <row r="959" spans="2:29" ht="13.2">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row>
    <row r="960" spans="2:29" ht="13.2">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row>
    <row r="961" spans="2:29" ht="13.2">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row>
    <row r="962" spans="2:29" ht="13.2">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row>
    <row r="963" spans="2:29" ht="13.2">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row>
    <row r="964" spans="2:29" ht="13.2">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row>
    <row r="965" spans="2:29" ht="13.2">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row>
    <row r="966" spans="2:29" ht="13.2">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row>
    <row r="967" spans="2:29" ht="13.2">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row>
    <row r="968" spans="2:29" ht="13.2">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spans="2:29" ht="13.2">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row>
    <row r="970" spans="2:29" ht="13.2">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row>
    <row r="971" spans="2:29" ht="13.2">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row>
    <row r="972" spans="2:29" ht="13.2">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row>
    <row r="973" spans="2:29" ht="13.2">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row>
    <row r="974" spans="2:29" ht="13.2">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row>
    <row r="975" spans="2:29" ht="13.2">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row>
    <row r="976" spans="2:29" ht="13.2">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row>
    <row r="977" spans="2:29" ht="13.2">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row>
    <row r="978" spans="2:29" ht="13.2">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row>
    <row r="979" spans="2:29" ht="13.2">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row>
    <row r="980" spans="2:29" ht="13.2">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row>
    <row r="981" spans="2:29" ht="13.2">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row>
    <row r="982" spans="2:29" ht="13.2">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row>
    <row r="983" spans="2:29" ht="13.2">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row>
    <row r="984" spans="2:29" ht="13.2">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row>
    <row r="985" spans="2:29" ht="13.2">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row>
    <row r="986" spans="2:29" ht="13.2">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row>
    <row r="987" spans="2:29" ht="13.2">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row>
    <row r="988" spans="2:29" ht="13.2">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row>
    <row r="989" spans="2:29" ht="13.2">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row>
    <row r="990" spans="2:29" ht="13.2">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row>
    <row r="991" spans="2:29" ht="13.2">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row>
    <row r="992" spans="2:29" ht="13.2">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row>
    <row r="993" spans="2:29" ht="13.2">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row>
    <row r="994" spans="2:29" ht="13.2">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row>
    <row r="995" spans="2:29" ht="13.2">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row>
    <row r="996" spans="2:29" ht="13.2">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row>
    <row r="997" spans="2:29" ht="13.2">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row>
    <row r="998" spans="2:29" ht="13.2">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row>
    <row r="999" spans="2:29" ht="13.2">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row>
    <row r="1000" spans="2:29" ht="13.2">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row>
    <row r="1001" spans="2:29" ht="13.2">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row>
    <row r="1002" spans="2:29" ht="13.2">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row>
    <row r="1003" spans="2:29" ht="13.2">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row>
    <row r="1004" spans="2:29" ht="13.2">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row>
    <row r="1005" spans="2:29" ht="13.2">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row>
    <row r="1006" spans="2:29" ht="13.2">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row>
    <row r="1007" spans="2:29" ht="13.2">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row>
    <row r="1008" spans="2:29" ht="13.2">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row>
    <row r="1009" spans="2:29" ht="13.2">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row>
    <row r="1010" spans="2:29" ht="13.2">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row>
    <row r="1011" spans="2:29" ht="13.2">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row>
    <row r="1012" spans="2:29" ht="13.2">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row>
    <row r="1013" spans="2:29" ht="13.2">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row>
    <row r="1014" spans="2:29" ht="13.2">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row>
    <row r="1015" spans="2:29" ht="13.2">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row>
    <row r="1016" spans="2:29" ht="13.2">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row>
    <row r="1017" spans="2:29" ht="13.2">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row>
    <row r="1018" spans="2:29" ht="13.2">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row>
    <row r="1019" spans="2:29" ht="13.2">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row>
    <row r="1020" spans="2:29" ht="13.2">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row>
    <row r="1021" spans="2:29" ht="13.2">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row>
    <row r="1022" spans="2:29" ht="13.2">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row>
    <row r="1023" spans="2:29" ht="13.2">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row>
    <row r="1024" spans="2:29" ht="13.2">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row>
    <row r="1025" spans="2:29" ht="13.2">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row>
    <row r="1026" spans="2:29" ht="13.2">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row>
    <row r="1027" spans="2:29" ht="13.2">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row>
    <row r="1028" spans="2:29" ht="13.2">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row>
    <row r="1029" spans="2:29" ht="13.2">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row>
    <row r="1030" spans="2:29" ht="13.2">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row>
    <row r="1031" spans="2:29" ht="13.2">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row>
    <row r="1032" spans="2:29" ht="13.2">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row>
    <row r="1033" spans="2:29" ht="13.2">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row>
    <row r="1034" spans="2:29" ht="13.2">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row>
    <row r="1035" spans="2:29" ht="13.2">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row>
    <row r="1036" spans="2:29" ht="13.2">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row>
    <row r="1037" spans="2:29" ht="13.2">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row>
    <row r="1038" spans="2:29" ht="13.2">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row>
    <row r="1039" spans="2:29" ht="13.2">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row>
  </sheetData>
  <conditionalFormatting sqref="G1:G1039 P12:P16">
    <cfRule type="expression" dxfId="16" priority="4">
      <formula>COUNTIF(H:H,H1)&gt;1</formula>
    </cfRule>
  </conditionalFormatting>
  <dataValidations count="1">
    <dataValidation type="list" allowBlank="1" showErrorMessage="1" sqref="F2 F4 F8:F9 F11:F13 F15 F17 F24 F26:F27" xr:uid="{00000000-0002-0000-0300-000000000000}">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1044"/>
  <sheetViews>
    <sheetView workbookViewId="0">
      <pane ySplit="1" topLeftCell="A2" activePane="bottomLeft" state="frozen"/>
      <selection pane="bottomLeft" activeCell="L9" sqref="L9"/>
    </sheetView>
  </sheetViews>
  <sheetFormatPr defaultColWidth="12.6640625" defaultRowHeight="15.75" customHeight="1"/>
  <cols>
    <col min="1" max="1" width="25.44140625" customWidth="1"/>
    <col min="2" max="2" width="75.88671875" customWidth="1"/>
    <col min="3" max="3" width="25.21875" customWidth="1"/>
    <col min="4" max="4" width="25.77734375" customWidth="1"/>
    <col min="5" max="5" width="16.6640625" customWidth="1"/>
    <col min="6" max="6" width="12.33203125" customWidth="1"/>
    <col min="7" max="7" width="15.44140625" customWidth="1"/>
    <col min="8" max="8" width="16.44140625" customWidth="1"/>
    <col min="9" max="9" width="12.33203125" customWidth="1"/>
    <col min="10" max="10" width="9.109375" customWidth="1"/>
  </cols>
  <sheetData>
    <row r="1" spans="1:29" s="21" customFormat="1" ht="13.2">
      <c r="A1" s="67" t="s">
        <v>39</v>
      </c>
      <c r="B1" s="68" t="s">
        <v>1</v>
      </c>
      <c r="C1" s="68" t="s">
        <v>4</v>
      </c>
      <c r="D1" s="68" t="s">
        <v>5</v>
      </c>
      <c r="E1" s="68" t="s">
        <v>2</v>
      </c>
      <c r="F1" s="69" t="s">
        <v>40</v>
      </c>
      <c r="G1" s="68" t="s">
        <v>3</v>
      </c>
      <c r="H1" s="68" t="s">
        <v>6</v>
      </c>
      <c r="I1" s="68" t="s">
        <v>7</v>
      </c>
      <c r="J1" s="70"/>
      <c r="K1" s="70"/>
      <c r="L1" s="70"/>
      <c r="M1" s="70"/>
      <c r="N1" s="70"/>
      <c r="O1" s="70"/>
      <c r="P1" s="70"/>
      <c r="Q1" s="70"/>
      <c r="R1" s="70"/>
      <c r="S1" s="70"/>
      <c r="T1" s="70"/>
      <c r="U1" s="70"/>
      <c r="V1" s="70"/>
      <c r="W1" s="70"/>
      <c r="X1" s="70"/>
      <c r="Y1" s="70"/>
      <c r="Z1" s="70"/>
      <c r="AA1" s="70"/>
      <c r="AB1" s="70"/>
      <c r="AC1" s="70"/>
    </row>
    <row r="2" spans="1:29" ht="15.75" customHeight="1">
      <c r="A2" s="16" t="s">
        <v>299</v>
      </c>
      <c r="B2" s="17" t="s">
        <v>671</v>
      </c>
      <c r="C2" s="17" t="s">
        <v>672</v>
      </c>
      <c r="D2" s="71" t="s">
        <v>686</v>
      </c>
      <c r="E2" s="17" t="str">
        <f>IF(D2&lt;&gt;"","WY"&amp;COUNTIF($D$2:D2,"&lt;&gt;"),"")</f>
        <v>WY1</v>
      </c>
      <c r="F2" s="17"/>
      <c r="G2" s="60" t="str">
        <f>HYPERLINK(P2)</f>
        <v>https://doi.org/10.1111/exsy.70098</v>
      </c>
      <c r="H2" s="17" t="s">
        <v>674</v>
      </c>
      <c r="I2" s="17">
        <v>2025</v>
      </c>
      <c r="J2" s="17"/>
      <c r="K2" s="17"/>
      <c r="L2" s="17"/>
      <c r="M2" s="17"/>
      <c r="N2" s="17"/>
      <c r="O2" s="17"/>
      <c r="P2" s="17" t="s">
        <v>673</v>
      </c>
      <c r="Q2" s="17"/>
      <c r="R2" s="17"/>
      <c r="S2" s="17"/>
      <c r="T2" s="17"/>
      <c r="U2" s="17"/>
      <c r="V2" s="17"/>
      <c r="W2" s="17"/>
      <c r="X2" s="17"/>
      <c r="Y2" s="17"/>
      <c r="Z2" s="17"/>
      <c r="AA2" s="17"/>
      <c r="AB2" s="17"/>
      <c r="AC2" s="17"/>
    </row>
    <row r="3" spans="1:29" ht="15.75" customHeight="1">
      <c r="A3" s="16"/>
      <c r="B3" s="17" t="s">
        <v>675</v>
      </c>
      <c r="C3" s="17" t="s">
        <v>676</v>
      </c>
      <c r="D3" s="71" t="s">
        <v>687</v>
      </c>
      <c r="E3" s="17" t="str">
        <f>IF(D3&lt;&gt;"","WY"&amp;COUNTIF($D$2:D3,"&lt;&gt;"),"")</f>
        <v>WY2</v>
      </c>
      <c r="F3" s="17"/>
      <c r="G3" s="60" t="str">
        <f t="shared" ref="G3:G29" si="0">HYPERLINK(P3)</f>
        <v>https://doi.org/10.1111/exsy.13103</v>
      </c>
      <c r="H3" s="17" t="s">
        <v>678</v>
      </c>
      <c r="I3" s="17">
        <v>2023</v>
      </c>
      <c r="J3" s="17"/>
      <c r="K3" s="17"/>
      <c r="L3" s="17"/>
      <c r="M3" s="17"/>
      <c r="N3" s="17"/>
      <c r="O3" s="17"/>
      <c r="P3" s="17" t="s">
        <v>677</v>
      </c>
      <c r="Q3" s="17"/>
      <c r="R3" s="17"/>
      <c r="S3" s="17"/>
      <c r="T3" s="17"/>
      <c r="U3" s="17"/>
      <c r="V3" s="17"/>
      <c r="W3" s="17"/>
      <c r="X3" s="17"/>
      <c r="Y3" s="17"/>
      <c r="Z3" s="17"/>
      <c r="AA3" s="17"/>
      <c r="AB3" s="17"/>
      <c r="AC3" s="17"/>
    </row>
    <row r="4" spans="1:29" ht="15.75" customHeight="1">
      <c r="A4" s="16"/>
      <c r="B4" s="17" t="s">
        <v>679</v>
      </c>
      <c r="C4" s="17" t="s">
        <v>680</v>
      </c>
      <c r="D4" s="17" t="s">
        <v>688</v>
      </c>
      <c r="E4" s="17" t="str">
        <f>IF(D4&lt;&gt;"","WY"&amp;COUNTIF($D$2:D4,"&lt;&gt;"),"")</f>
        <v>WY3</v>
      </c>
      <c r="F4" s="17"/>
      <c r="G4" s="60" t="str">
        <f t="shared" si="0"/>
        <v>https://doi.org/10.1111/epi.17926</v>
      </c>
      <c r="H4" s="17" t="s">
        <v>682</v>
      </c>
      <c r="I4" s="17">
        <v>2024</v>
      </c>
      <c r="J4" s="17"/>
      <c r="K4" s="17"/>
      <c r="L4" s="17"/>
      <c r="M4" s="17"/>
      <c r="N4" s="17"/>
      <c r="O4" s="17"/>
      <c r="P4" s="17" t="s">
        <v>681</v>
      </c>
      <c r="Q4" s="17"/>
      <c r="R4" s="17"/>
      <c r="S4" s="17"/>
      <c r="T4" s="17"/>
      <c r="U4" s="17"/>
      <c r="V4" s="17"/>
      <c r="W4" s="17"/>
      <c r="X4" s="17"/>
      <c r="Y4" s="17"/>
      <c r="Z4" s="17"/>
      <c r="AA4" s="17"/>
      <c r="AB4" s="17"/>
      <c r="AC4" s="17"/>
    </row>
    <row r="5" spans="1:29" ht="15.75" customHeight="1">
      <c r="A5" s="16"/>
      <c r="B5" s="17" t="s">
        <v>683</v>
      </c>
      <c r="C5" s="17" t="s">
        <v>684</v>
      </c>
      <c r="D5" s="71" t="s">
        <v>689</v>
      </c>
      <c r="E5" s="17" t="str">
        <f>IF(D5&lt;&gt;"","WY"&amp;COUNTIF($D$2:D5,"&lt;&gt;"),"")</f>
        <v>WY4</v>
      </c>
      <c r="F5" s="17"/>
      <c r="G5" s="60" t="str">
        <f t="shared" si="0"/>
        <v>https://doi.org/10.1155/2021/5549111</v>
      </c>
      <c r="H5" s="17"/>
      <c r="I5" s="17">
        <v>2021</v>
      </c>
      <c r="J5" s="17"/>
      <c r="K5" s="17"/>
      <c r="L5" s="17"/>
      <c r="M5" s="17"/>
      <c r="N5" s="17"/>
      <c r="O5" s="17"/>
      <c r="P5" s="17" t="s">
        <v>685</v>
      </c>
      <c r="Q5" s="17"/>
      <c r="R5" s="17"/>
      <c r="S5" s="17"/>
      <c r="T5" s="17"/>
      <c r="U5" s="17"/>
      <c r="V5" s="17"/>
      <c r="W5" s="17"/>
      <c r="X5" s="17"/>
      <c r="Y5" s="17"/>
      <c r="Z5" s="17"/>
      <c r="AA5" s="17"/>
      <c r="AB5" s="17"/>
      <c r="AC5" s="17"/>
    </row>
    <row r="6" spans="1:29" ht="15.75" customHeight="1">
      <c r="A6" s="16"/>
      <c r="B6" s="17" t="s">
        <v>690</v>
      </c>
      <c r="C6" s="17" t="s">
        <v>691</v>
      </c>
      <c r="D6" s="17" t="s">
        <v>693</v>
      </c>
      <c r="E6" s="17" t="str">
        <f>IF(D6&lt;&gt;"","WY"&amp;COUNTIF($D$2:D6,"&lt;&gt;"),"")</f>
        <v>WY5</v>
      </c>
      <c r="F6" s="17"/>
      <c r="G6" s="60" t="str">
        <f t="shared" si="0"/>
        <v>https://doi.org/10.1049/iet-cvi.2019.0897</v>
      </c>
      <c r="H6" s="17" t="s">
        <v>694</v>
      </c>
      <c r="I6" s="17">
        <v>2020</v>
      </c>
      <c r="J6" s="17"/>
      <c r="K6" s="17"/>
      <c r="L6" s="17"/>
      <c r="M6" s="17"/>
      <c r="N6" s="17"/>
      <c r="O6" s="17"/>
      <c r="P6" s="17" t="s">
        <v>692</v>
      </c>
      <c r="Q6" s="17"/>
      <c r="R6" s="17"/>
      <c r="S6" s="17"/>
      <c r="T6" s="17"/>
      <c r="U6" s="17"/>
      <c r="V6" s="17"/>
      <c r="W6" s="17"/>
      <c r="X6" s="17"/>
      <c r="Y6" s="17"/>
      <c r="Z6" s="17"/>
      <c r="AA6" s="17"/>
      <c r="AB6" s="17"/>
      <c r="AC6" s="17"/>
    </row>
    <row r="7" spans="1:29" ht="15.75" customHeight="1">
      <c r="A7" s="16"/>
      <c r="B7" s="71"/>
      <c r="C7" s="72"/>
      <c r="D7" s="71"/>
      <c r="E7" s="17" t="str">
        <f>IF(D7&lt;&gt;"","WY"&amp;COUNTIF($D$2:D7,"&lt;&gt;"),"")</f>
        <v/>
      </c>
      <c r="F7" s="17"/>
      <c r="G7" s="60" t="str">
        <f t="shared" si="0"/>
        <v/>
      </c>
      <c r="H7" s="17"/>
      <c r="I7" s="56"/>
      <c r="J7" s="17"/>
      <c r="K7" s="17"/>
      <c r="L7" s="17"/>
      <c r="M7" s="17"/>
      <c r="N7" s="17"/>
      <c r="O7" s="17"/>
      <c r="P7" s="17"/>
      <c r="Q7" s="17"/>
      <c r="R7" s="17"/>
      <c r="S7" s="17"/>
      <c r="T7" s="17"/>
      <c r="U7" s="17"/>
      <c r="V7" s="17"/>
      <c r="W7" s="17"/>
      <c r="X7" s="17"/>
      <c r="Y7" s="17"/>
      <c r="Z7" s="17"/>
      <c r="AA7" s="17"/>
      <c r="AB7" s="17"/>
      <c r="AC7" s="17"/>
    </row>
    <row r="8" spans="1:29" ht="15.75" customHeight="1">
      <c r="A8" s="16" t="s">
        <v>43</v>
      </c>
      <c r="B8" s="17" t="s">
        <v>749</v>
      </c>
      <c r="C8" s="17" t="s">
        <v>750</v>
      </c>
      <c r="D8" s="17" t="s">
        <v>765</v>
      </c>
      <c r="E8" s="17" t="str">
        <f>IF(D8&lt;&gt;"","WY"&amp;COUNTIF($D$2:D8,"&lt;&gt;"),"")</f>
        <v>WY6</v>
      </c>
      <c r="F8" s="17"/>
      <c r="G8" s="60" t="str">
        <f t="shared" si="0"/>
        <v>https://doi.org/10.1049/ipr2.12042</v>
      </c>
      <c r="H8" s="17" t="s">
        <v>752</v>
      </c>
      <c r="I8" s="17">
        <v>2021</v>
      </c>
      <c r="J8" s="17"/>
      <c r="K8" s="17"/>
      <c r="L8" s="17"/>
      <c r="M8" s="17"/>
      <c r="N8" s="17"/>
      <c r="O8" s="17"/>
      <c r="P8" s="17" t="s">
        <v>751</v>
      </c>
      <c r="Q8" s="17"/>
      <c r="R8" s="17"/>
      <c r="S8" s="17"/>
      <c r="T8" s="17"/>
      <c r="U8" s="17"/>
      <c r="V8" s="17"/>
      <c r="W8" s="17"/>
      <c r="X8" s="17"/>
      <c r="Y8" s="17"/>
      <c r="Z8" s="17"/>
      <c r="AA8" s="17"/>
      <c r="AB8" s="17"/>
      <c r="AC8" s="17"/>
    </row>
    <row r="9" spans="1:29" ht="15.75" customHeight="1">
      <c r="A9" s="16"/>
      <c r="B9" s="17" t="s">
        <v>753</v>
      </c>
      <c r="C9" s="17" t="s">
        <v>754</v>
      </c>
      <c r="D9" s="17" t="s">
        <v>766</v>
      </c>
      <c r="E9" s="17" t="str">
        <f>IF(D9&lt;&gt;"","WY"&amp;COUNTIF($D$2:D9,"&lt;&gt;"),"")</f>
        <v>WY7</v>
      </c>
      <c r="F9" s="17"/>
      <c r="G9" s="60" t="str">
        <f t="shared" si="0"/>
        <v>https://doi.org/10.1111/coin.12292</v>
      </c>
      <c r="H9" s="17" t="s">
        <v>756</v>
      </c>
      <c r="I9" s="17">
        <v>2020</v>
      </c>
      <c r="J9" s="17"/>
      <c r="K9" s="17"/>
      <c r="L9" s="17"/>
      <c r="M9" s="17"/>
      <c r="N9" s="17"/>
      <c r="O9" s="17"/>
      <c r="P9" s="17" t="s">
        <v>755</v>
      </c>
      <c r="Q9" s="17"/>
      <c r="R9" s="17"/>
      <c r="S9" s="17"/>
      <c r="T9" s="17"/>
      <c r="U9" s="17"/>
      <c r="V9" s="17"/>
      <c r="W9" s="17"/>
      <c r="X9" s="17"/>
      <c r="Y9" s="17"/>
      <c r="Z9" s="17"/>
      <c r="AA9" s="17"/>
      <c r="AB9" s="17"/>
      <c r="AC9" s="17"/>
    </row>
    <row r="10" spans="1:29" ht="15.75" customHeight="1">
      <c r="A10" s="16"/>
      <c r="B10" s="17" t="s">
        <v>757</v>
      </c>
      <c r="C10" s="17" t="s">
        <v>758</v>
      </c>
      <c r="D10" s="17" t="s">
        <v>767</v>
      </c>
      <c r="E10" s="17" t="str">
        <f>IF(D10&lt;&gt;"","WY"&amp;COUNTIF($D$2:D10,"&lt;&gt;"),"")</f>
        <v>WY8</v>
      </c>
      <c r="F10" s="17"/>
      <c r="G10" s="60" t="str">
        <f t="shared" si="0"/>
        <v>https://doi.org/10.1111/coin.70035</v>
      </c>
      <c r="H10" s="17" t="s">
        <v>760</v>
      </c>
      <c r="I10" s="17">
        <v>2025</v>
      </c>
      <c r="J10" s="17"/>
      <c r="K10" s="17"/>
      <c r="L10" s="17"/>
      <c r="M10" s="17"/>
      <c r="N10" s="17"/>
      <c r="O10" s="17"/>
      <c r="P10" s="17" t="s">
        <v>759</v>
      </c>
      <c r="Q10" s="17"/>
      <c r="R10" s="17"/>
      <c r="S10" s="17"/>
      <c r="T10" s="17"/>
      <c r="U10" s="17"/>
      <c r="V10" s="17"/>
      <c r="W10" s="17"/>
      <c r="X10" s="17"/>
      <c r="Y10" s="17"/>
      <c r="Z10" s="17"/>
      <c r="AA10" s="17"/>
      <c r="AB10" s="17"/>
      <c r="AC10" s="17"/>
    </row>
    <row r="11" spans="1:29" ht="15.75" customHeight="1">
      <c r="A11" s="16"/>
      <c r="B11" s="17" t="s">
        <v>690</v>
      </c>
      <c r="C11" s="17" t="s">
        <v>691</v>
      </c>
      <c r="D11" s="17" t="s">
        <v>768</v>
      </c>
      <c r="E11" s="17" t="str">
        <f>IF(D11&lt;&gt;"","WY"&amp;COUNTIF($D$2:D11,"&lt;&gt;"),"")</f>
        <v>WY9</v>
      </c>
      <c r="F11" s="17"/>
      <c r="G11" s="60" t="str">
        <f t="shared" si="0"/>
        <v>https://doi.org/10.1049/iet-cvi.2019.0897</v>
      </c>
      <c r="H11" s="17" t="s">
        <v>694</v>
      </c>
      <c r="I11" s="17">
        <v>2020</v>
      </c>
      <c r="J11" s="17"/>
      <c r="K11" s="17"/>
      <c r="L11" s="17"/>
      <c r="M11" s="17"/>
      <c r="N11" s="17"/>
      <c r="O11" s="17"/>
      <c r="P11" s="17" t="s">
        <v>692</v>
      </c>
      <c r="Q11" s="17"/>
      <c r="R11" s="17"/>
      <c r="S11" s="17"/>
      <c r="T11" s="17"/>
      <c r="U11" s="17"/>
      <c r="V11" s="17"/>
      <c r="W11" s="17"/>
      <c r="X11" s="17"/>
      <c r="Y11" s="17"/>
      <c r="Z11" s="17"/>
      <c r="AA11" s="17"/>
      <c r="AB11" s="17"/>
      <c r="AC11" s="17"/>
    </row>
    <row r="12" spans="1:29" ht="15.75" customHeight="1">
      <c r="A12" s="16"/>
      <c r="B12" s="17" t="s">
        <v>761</v>
      </c>
      <c r="C12" s="17" t="s">
        <v>762</v>
      </c>
      <c r="D12" s="17" t="s">
        <v>769</v>
      </c>
      <c r="E12" s="17" t="str">
        <f>IF(D12&lt;&gt;"","WY"&amp;COUNTIF($D$2:D12,"&lt;&gt;"),"")</f>
        <v>WY10</v>
      </c>
      <c r="F12" s="17"/>
      <c r="G12" s="60" t="str">
        <f t="shared" si="0"/>
        <v>https://doi.org/10.1002/itl2.356</v>
      </c>
      <c r="H12" s="17" t="s">
        <v>764</v>
      </c>
      <c r="I12" s="17">
        <v>2023</v>
      </c>
      <c r="J12" s="17"/>
      <c r="K12" s="17"/>
      <c r="L12" s="17"/>
      <c r="M12" s="17"/>
      <c r="N12" s="17"/>
      <c r="O12" s="17"/>
      <c r="P12" s="17" t="s">
        <v>763</v>
      </c>
      <c r="Q12" s="17"/>
      <c r="R12" s="17"/>
      <c r="S12" s="17"/>
      <c r="T12" s="17"/>
      <c r="U12" s="17"/>
      <c r="V12" s="17"/>
      <c r="W12" s="17"/>
      <c r="X12" s="17"/>
      <c r="Y12" s="17"/>
      <c r="Z12" s="17"/>
      <c r="AA12" s="17"/>
      <c r="AB12" s="17"/>
      <c r="AC12" s="17"/>
    </row>
    <row r="13" spans="1:29" ht="15.75" customHeight="1">
      <c r="A13" s="16"/>
      <c r="B13" s="71"/>
      <c r="C13" s="17"/>
      <c r="D13" s="17"/>
      <c r="E13" s="17" t="str">
        <f>IF(D13&lt;&gt;"","WY"&amp;COUNTIF($D$2:D13,"&lt;&gt;"),"")</f>
        <v/>
      </c>
      <c r="F13" s="17"/>
      <c r="G13" s="60" t="str">
        <f t="shared" si="0"/>
        <v/>
      </c>
      <c r="H13" s="17"/>
      <c r="I13" s="17"/>
      <c r="J13" s="17"/>
      <c r="K13" s="17"/>
      <c r="L13" s="17"/>
      <c r="M13" s="17"/>
      <c r="N13" s="17"/>
      <c r="O13" s="17"/>
      <c r="P13" s="17"/>
      <c r="Q13" s="17"/>
      <c r="R13" s="17"/>
      <c r="S13" s="17"/>
      <c r="T13" s="17"/>
      <c r="U13" s="17"/>
      <c r="V13" s="17"/>
      <c r="W13" s="17"/>
      <c r="X13" s="17"/>
      <c r="Y13" s="17"/>
      <c r="Z13" s="17"/>
      <c r="AA13" s="17"/>
      <c r="AB13" s="17"/>
      <c r="AC13" s="17"/>
    </row>
    <row r="14" spans="1:29" ht="15.75" customHeight="1">
      <c r="A14" s="16" t="s">
        <v>135</v>
      </c>
      <c r="B14" s="17" t="s">
        <v>770</v>
      </c>
      <c r="C14" s="17" t="s">
        <v>771</v>
      </c>
      <c r="D14" s="17" t="s">
        <v>783</v>
      </c>
      <c r="E14" s="17" t="str">
        <f>IF(D14&lt;&gt;"","WY"&amp;COUNTIF($D$2:D14,"&lt;&gt;"),"")</f>
        <v>WY11</v>
      </c>
      <c r="F14" s="17"/>
      <c r="G14" s="60" t="str">
        <f t="shared" si="0"/>
        <v>https://doi.org/10.1049/joe.2019.1160</v>
      </c>
      <c r="H14" s="17" t="s">
        <v>773</v>
      </c>
      <c r="I14" s="17">
        <v>2020</v>
      </c>
      <c r="J14" s="17"/>
      <c r="K14" s="17"/>
      <c r="L14" s="17"/>
      <c r="M14" s="17"/>
      <c r="N14" s="17"/>
      <c r="O14" s="17"/>
      <c r="P14" s="17" t="s">
        <v>772</v>
      </c>
      <c r="Q14" s="17"/>
      <c r="R14" s="17"/>
      <c r="S14" s="17"/>
      <c r="T14" s="17"/>
      <c r="U14" s="17"/>
      <c r="V14" s="17"/>
      <c r="W14" s="17"/>
      <c r="X14" s="17"/>
      <c r="Y14" s="17"/>
      <c r="Z14" s="17"/>
      <c r="AA14" s="17"/>
      <c r="AB14" s="17"/>
      <c r="AC14" s="17"/>
    </row>
    <row r="15" spans="1:29" ht="15.75" customHeight="1">
      <c r="A15" s="16"/>
      <c r="B15" s="17" t="s">
        <v>774</v>
      </c>
      <c r="C15" s="17" t="s">
        <v>775</v>
      </c>
      <c r="D15" s="17" t="s">
        <v>784</v>
      </c>
      <c r="E15" s="17" t="str">
        <f>IF(D15&lt;&gt;"","WY"&amp;COUNTIF($D$2:D15,"&lt;&gt;"),"")</f>
        <v>WY12</v>
      </c>
      <c r="F15" s="17"/>
      <c r="G15" s="60" t="str">
        <f t="shared" si="0"/>
        <v>https://doi.org/10.1002/cta.2903</v>
      </c>
      <c r="H15" s="17" t="s">
        <v>777</v>
      </c>
      <c r="I15" s="17">
        <v>2021</v>
      </c>
      <c r="J15" s="17"/>
      <c r="K15" s="17"/>
      <c r="L15" s="17"/>
      <c r="M15" s="17"/>
      <c r="N15" s="17"/>
      <c r="O15" s="17"/>
      <c r="P15" s="17" t="s">
        <v>776</v>
      </c>
      <c r="Q15" s="17"/>
      <c r="R15" s="17"/>
      <c r="S15" s="17"/>
      <c r="T15" s="17"/>
      <c r="U15" s="17"/>
      <c r="V15" s="17"/>
      <c r="W15" s="17"/>
      <c r="X15" s="17"/>
      <c r="Y15" s="17"/>
      <c r="Z15" s="17"/>
      <c r="AA15" s="17"/>
      <c r="AB15" s="17"/>
      <c r="AC15" s="17"/>
    </row>
    <row r="16" spans="1:29" ht="15.75" customHeight="1">
      <c r="A16" s="16"/>
      <c r="B16" s="17" t="s">
        <v>749</v>
      </c>
      <c r="C16" s="17" t="s">
        <v>750</v>
      </c>
      <c r="D16" s="17" t="s">
        <v>785</v>
      </c>
      <c r="E16" s="17" t="str">
        <f>IF(D16&lt;&gt;"","WY"&amp;COUNTIF($D$2:D16,"&lt;&gt;"),"")</f>
        <v>WY13</v>
      </c>
      <c r="F16" s="17"/>
      <c r="G16" s="60" t="str">
        <f t="shared" si="0"/>
        <v>https://doi.org/10.1049/ipr2.12042</v>
      </c>
      <c r="H16" s="17" t="s">
        <v>778</v>
      </c>
      <c r="I16" s="17">
        <v>2021</v>
      </c>
      <c r="J16" s="17"/>
      <c r="K16" s="17"/>
      <c r="L16" s="17"/>
      <c r="M16" s="17"/>
      <c r="N16" s="17"/>
      <c r="O16" s="17"/>
      <c r="P16" s="17" t="s">
        <v>751</v>
      </c>
      <c r="Q16" s="17"/>
      <c r="R16" s="17"/>
      <c r="S16" s="17"/>
      <c r="T16" s="17"/>
      <c r="U16" s="17"/>
      <c r="V16" s="17"/>
      <c r="W16" s="17"/>
      <c r="X16" s="17"/>
      <c r="Y16" s="17"/>
      <c r="Z16" s="17"/>
      <c r="AA16" s="17"/>
      <c r="AB16" s="17"/>
      <c r="AC16" s="17"/>
    </row>
    <row r="17" spans="1:29" ht="15.75" customHeight="1">
      <c r="A17" s="16"/>
      <c r="B17" s="17" t="s">
        <v>779</v>
      </c>
      <c r="C17" s="17" t="s">
        <v>780</v>
      </c>
      <c r="D17" s="17" t="s">
        <v>786</v>
      </c>
      <c r="E17" s="17" t="str">
        <f>IF(D17&lt;&gt;"","WY"&amp;COUNTIF($D$2:D17,"&lt;&gt;"),"")</f>
        <v>WY14</v>
      </c>
      <c r="F17" s="17"/>
      <c r="G17" s="60" t="str">
        <f t="shared" si="0"/>
        <v>https://doi.org/10.1002/tee.23696</v>
      </c>
      <c r="H17" s="17" t="s">
        <v>782</v>
      </c>
      <c r="I17" s="17">
        <v>2023</v>
      </c>
      <c r="J17" s="17"/>
      <c r="K17" s="17"/>
      <c r="L17" s="17"/>
      <c r="M17" s="17"/>
      <c r="N17" s="17"/>
      <c r="O17" s="17"/>
      <c r="P17" s="17" t="s">
        <v>781</v>
      </c>
      <c r="Q17" s="17"/>
      <c r="R17" s="17"/>
      <c r="S17" s="17"/>
      <c r="T17" s="17"/>
      <c r="U17" s="17"/>
      <c r="V17" s="17"/>
      <c r="W17" s="17"/>
      <c r="X17" s="17"/>
      <c r="Y17" s="17"/>
      <c r="Z17" s="17"/>
      <c r="AA17" s="17"/>
      <c r="AB17" s="17"/>
      <c r="AC17" s="17"/>
    </row>
    <row r="18" spans="1:29" ht="15.75" customHeight="1">
      <c r="A18" s="16"/>
      <c r="B18" s="17"/>
      <c r="C18" s="17"/>
      <c r="D18" s="17"/>
      <c r="E18" s="17" t="str">
        <f>IF(D18&lt;&gt;"","WY"&amp;COUNTIF($D$2:D18,"&lt;&gt;"),"")</f>
        <v/>
      </c>
      <c r="F18" s="17"/>
      <c r="G18" s="60" t="str">
        <f t="shared" si="0"/>
        <v/>
      </c>
      <c r="H18" s="17"/>
      <c r="I18" s="17"/>
      <c r="J18" s="17"/>
      <c r="K18" s="17"/>
      <c r="L18" s="17"/>
      <c r="M18" s="17"/>
      <c r="N18" s="17"/>
      <c r="O18" s="17"/>
      <c r="P18" s="17"/>
      <c r="Q18" s="17"/>
      <c r="R18" s="17"/>
      <c r="S18" s="17"/>
      <c r="T18" s="17"/>
      <c r="U18" s="17"/>
      <c r="V18" s="17"/>
      <c r="W18" s="17"/>
      <c r="X18" s="17"/>
      <c r="Y18" s="17"/>
      <c r="Z18" s="17"/>
      <c r="AA18" s="17"/>
      <c r="AB18" s="17"/>
      <c r="AC18" s="17"/>
    </row>
    <row r="19" spans="1:29" ht="15.75" customHeight="1">
      <c r="A19" s="16" t="s">
        <v>231</v>
      </c>
      <c r="B19" s="17" t="s">
        <v>787</v>
      </c>
      <c r="C19" s="17" t="s">
        <v>788</v>
      </c>
      <c r="D19" s="17" t="s">
        <v>800</v>
      </c>
      <c r="E19" s="17" t="str">
        <f>IF(D19&lt;&gt;"","WY"&amp;COUNTIF($D$2:D19,"&lt;&gt;"),"")</f>
        <v>WY15</v>
      </c>
      <c r="F19" s="17"/>
      <c r="G19" s="60" t="str">
        <f t="shared" si="0"/>
        <v>https://doi.org/10.3982/ECTA22017</v>
      </c>
      <c r="H19" s="17" t="s">
        <v>790</v>
      </c>
      <c r="I19" s="17">
        <v>2024</v>
      </c>
      <c r="J19" s="17"/>
      <c r="K19" s="17"/>
      <c r="L19" s="17"/>
      <c r="M19" s="17"/>
      <c r="N19" s="17"/>
      <c r="O19" s="17"/>
      <c r="P19" s="17" t="s">
        <v>789</v>
      </c>
      <c r="Q19" s="17"/>
      <c r="R19" s="17"/>
      <c r="S19" s="17"/>
      <c r="T19" s="17"/>
      <c r="U19" s="17"/>
      <c r="V19" s="17"/>
      <c r="W19" s="17"/>
      <c r="X19" s="17"/>
      <c r="Y19" s="17"/>
      <c r="Z19" s="17"/>
      <c r="AA19" s="17"/>
      <c r="AB19" s="17"/>
      <c r="AC19" s="17"/>
    </row>
    <row r="20" spans="1:29" ht="14.4">
      <c r="A20" s="16"/>
      <c r="B20" s="17" t="s">
        <v>791</v>
      </c>
      <c r="C20" s="17" t="s">
        <v>792</v>
      </c>
      <c r="D20" s="17" t="s">
        <v>801</v>
      </c>
      <c r="E20" s="17" t="str">
        <f>IF(D20&lt;&gt;"","WY"&amp;COUNTIF($D$2:D20,"&lt;&gt;"),"")</f>
        <v>WY16</v>
      </c>
      <c r="F20" s="17"/>
      <c r="G20" s="60" t="str">
        <f t="shared" si="0"/>
        <v>https://doi.org/10.1155/2022/3068199</v>
      </c>
      <c r="H20" s="17" t="s">
        <v>794</v>
      </c>
      <c r="I20" s="17">
        <v>2022</v>
      </c>
      <c r="J20" s="17"/>
      <c r="K20" s="17"/>
      <c r="L20" s="17"/>
      <c r="M20" s="17"/>
      <c r="N20" s="17"/>
      <c r="O20" s="17"/>
      <c r="P20" s="17" t="s">
        <v>793</v>
      </c>
      <c r="Q20" s="17"/>
      <c r="R20" s="17"/>
      <c r="S20" s="17"/>
      <c r="T20" s="17"/>
      <c r="U20" s="17"/>
      <c r="V20" s="17"/>
      <c r="W20" s="17"/>
      <c r="X20" s="17"/>
      <c r="Y20" s="17"/>
      <c r="Z20" s="17"/>
      <c r="AA20" s="17"/>
      <c r="AB20" s="17"/>
      <c r="AC20" s="17"/>
    </row>
    <row r="21" spans="1:29" ht="14.4">
      <c r="A21" s="16"/>
      <c r="B21" s="17" t="s">
        <v>795</v>
      </c>
      <c r="C21" s="17" t="s">
        <v>750</v>
      </c>
      <c r="D21" s="17" t="s">
        <v>765</v>
      </c>
      <c r="E21" s="17" t="str">
        <f>IF(D21&lt;&gt;"","WY"&amp;COUNTIF($D$2:D21,"&lt;&gt;"),"")</f>
        <v>WY17</v>
      </c>
      <c r="F21" s="17"/>
      <c r="G21" s="60" t="str">
        <f t="shared" si="0"/>
        <v>https://doi.org/10.1049/ipr2.12042</v>
      </c>
      <c r="H21" s="17" t="s">
        <v>778</v>
      </c>
      <c r="I21" s="17">
        <v>2021</v>
      </c>
      <c r="J21" s="17"/>
      <c r="K21" s="17"/>
      <c r="L21" s="17"/>
      <c r="M21" s="17"/>
      <c r="N21" s="17"/>
      <c r="O21" s="17"/>
      <c r="P21" s="17" t="s">
        <v>751</v>
      </c>
      <c r="Q21" s="17"/>
      <c r="R21" s="17"/>
      <c r="S21" s="17"/>
      <c r="T21" s="17"/>
      <c r="U21" s="17"/>
      <c r="V21" s="17"/>
      <c r="W21" s="17"/>
      <c r="X21" s="17"/>
      <c r="Y21" s="17"/>
      <c r="Z21" s="17"/>
      <c r="AA21" s="17"/>
      <c r="AB21" s="17"/>
      <c r="AC21" s="17"/>
    </row>
    <row r="22" spans="1:29" ht="14.4">
      <c r="A22" s="16"/>
      <c r="B22" s="17" t="s">
        <v>796</v>
      </c>
      <c r="C22" s="17" t="s">
        <v>797</v>
      </c>
      <c r="D22" s="17" t="s">
        <v>802</v>
      </c>
      <c r="E22" s="17" t="str">
        <f>IF(D22&lt;&gt;"","WY"&amp;COUNTIF($D$2:D22,"&lt;&gt;"),"")</f>
        <v>WY18</v>
      </c>
      <c r="F22" s="17"/>
      <c r="G22" s="60" t="str">
        <f t="shared" si="0"/>
        <v>https://doi.org/10.1049/ell2.12047</v>
      </c>
      <c r="H22" s="17" t="s">
        <v>799</v>
      </c>
      <c r="I22" s="17">
        <v>2021</v>
      </c>
      <c r="J22" s="17"/>
      <c r="K22" s="17"/>
      <c r="L22" s="17"/>
      <c r="M22" s="17"/>
      <c r="N22" s="17"/>
      <c r="O22" s="17"/>
      <c r="P22" s="17" t="s">
        <v>798</v>
      </c>
      <c r="Q22" s="17"/>
      <c r="R22" s="17"/>
      <c r="S22" s="17"/>
      <c r="T22" s="17"/>
      <c r="U22" s="17"/>
      <c r="V22" s="17"/>
      <c r="W22" s="17"/>
      <c r="X22" s="17"/>
      <c r="Y22" s="17"/>
      <c r="Z22" s="17"/>
      <c r="AA22" s="17"/>
      <c r="AB22" s="17"/>
      <c r="AC22" s="17"/>
    </row>
    <row r="23" spans="1:29" ht="14.4">
      <c r="B23" s="17"/>
      <c r="C23" s="17"/>
      <c r="D23" s="17"/>
      <c r="E23" s="17" t="str">
        <f>IF(D23&lt;&gt;"","WY"&amp;COUNTIF($D$2:D23,"&lt;&gt;"),"")</f>
        <v/>
      </c>
      <c r="F23" s="17"/>
      <c r="G23" s="60" t="str">
        <f t="shared" si="0"/>
        <v/>
      </c>
      <c r="H23" s="17"/>
      <c r="I23" s="17"/>
      <c r="J23" s="17"/>
      <c r="K23" s="17"/>
      <c r="L23" s="17"/>
      <c r="M23" s="17"/>
      <c r="N23" s="17"/>
      <c r="O23" s="17"/>
      <c r="P23" s="17"/>
      <c r="Q23" s="17"/>
      <c r="R23" s="17"/>
      <c r="S23" s="17"/>
      <c r="T23" s="17"/>
      <c r="U23" s="17"/>
      <c r="V23" s="17"/>
      <c r="W23" s="17"/>
      <c r="X23" s="17"/>
      <c r="Y23" s="17"/>
      <c r="Z23" s="17"/>
      <c r="AA23" s="17"/>
      <c r="AB23" s="17"/>
      <c r="AC23" s="17"/>
    </row>
    <row r="24" spans="1:29" ht="14.4">
      <c r="A24" s="16" t="s">
        <v>262</v>
      </c>
      <c r="B24" s="17" t="s">
        <v>803</v>
      </c>
      <c r="C24" s="17" t="s">
        <v>804</v>
      </c>
      <c r="D24" s="17" t="s">
        <v>816</v>
      </c>
      <c r="E24" s="17" t="str">
        <f>IF(D24&lt;&gt;"","WY"&amp;COUNTIF($D$2:D24,"&lt;&gt;"),"")</f>
        <v>WY19</v>
      </c>
      <c r="F24" s="17"/>
      <c r="G24" s="60" t="str">
        <f t="shared" si="0"/>
        <v>https://doi.org/10.1049/ipr2.12615</v>
      </c>
      <c r="H24" s="17" t="s">
        <v>806</v>
      </c>
      <c r="I24" s="17">
        <v>2023</v>
      </c>
      <c r="J24" s="17"/>
      <c r="K24" s="17"/>
      <c r="L24" s="17"/>
      <c r="M24" s="17"/>
      <c r="N24" s="17"/>
      <c r="O24" s="17"/>
      <c r="P24" s="17" t="s">
        <v>805</v>
      </c>
      <c r="Q24" s="17"/>
      <c r="R24" s="17"/>
      <c r="S24" s="17"/>
      <c r="T24" s="17"/>
      <c r="U24" s="17"/>
      <c r="V24" s="17"/>
      <c r="W24" s="17"/>
      <c r="X24" s="17"/>
      <c r="Y24" s="17"/>
      <c r="Z24" s="17"/>
      <c r="AA24" s="17"/>
      <c r="AB24" s="17"/>
      <c r="AC24" s="17"/>
    </row>
    <row r="25" spans="1:29" ht="14.4">
      <c r="A25" s="16"/>
      <c r="B25" s="17" t="s">
        <v>807</v>
      </c>
      <c r="C25" s="17" t="s">
        <v>808</v>
      </c>
      <c r="D25" s="17" t="s">
        <v>817</v>
      </c>
      <c r="E25" s="17" t="str">
        <f>IF(D25&lt;&gt;"","WY"&amp;COUNTIF($D$2:D25,"&lt;&gt;"),"")</f>
        <v>WY20</v>
      </c>
      <c r="F25" s="17"/>
      <c r="G25" s="60" t="str">
        <f t="shared" si="0"/>
        <v>https://doi.org/10.1155/2022/1500428</v>
      </c>
      <c r="H25" s="17" t="s">
        <v>810</v>
      </c>
      <c r="I25" s="17">
        <v>2022</v>
      </c>
      <c r="J25" s="17"/>
      <c r="K25" s="17"/>
      <c r="L25" s="17"/>
      <c r="M25" s="17"/>
      <c r="N25" s="17"/>
      <c r="O25" s="17"/>
      <c r="P25" s="17" t="s">
        <v>809</v>
      </c>
      <c r="Q25" s="17"/>
      <c r="R25" s="17"/>
      <c r="S25" s="17"/>
      <c r="T25" s="17"/>
      <c r="U25" s="17"/>
      <c r="V25" s="17"/>
      <c r="W25" s="17"/>
      <c r="X25" s="17"/>
      <c r="Y25" s="17"/>
      <c r="Z25" s="17"/>
      <c r="AA25" s="17"/>
      <c r="AB25" s="17"/>
      <c r="AC25" s="17"/>
    </row>
    <row r="26" spans="1:29" ht="14.4">
      <c r="A26" s="16"/>
      <c r="B26" s="17" t="s">
        <v>757</v>
      </c>
      <c r="C26" s="17" t="s">
        <v>758</v>
      </c>
      <c r="D26" s="17" t="s">
        <v>818</v>
      </c>
      <c r="E26" s="17" t="str">
        <f>IF(D26&lt;&gt;"","WY"&amp;COUNTIF($D$2:D26,"&lt;&gt;"),"")</f>
        <v>WY21</v>
      </c>
      <c r="F26" s="17"/>
      <c r="G26" s="60" t="str">
        <f t="shared" si="0"/>
        <v>https://doi.org/10.1111/coin.70035</v>
      </c>
      <c r="H26" s="17" t="s">
        <v>760</v>
      </c>
      <c r="I26" s="17">
        <v>2025</v>
      </c>
      <c r="J26" s="17"/>
      <c r="K26" s="17"/>
      <c r="L26" s="17"/>
      <c r="M26" s="17"/>
      <c r="N26" s="17"/>
      <c r="O26" s="17"/>
      <c r="P26" s="17" t="s">
        <v>759</v>
      </c>
      <c r="Q26" s="17"/>
      <c r="R26" s="17"/>
      <c r="S26" s="17"/>
      <c r="T26" s="17"/>
      <c r="U26" s="17"/>
      <c r="V26" s="17"/>
      <c r="W26" s="17"/>
      <c r="X26" s="17"/>
      <c r="Y26" s="17"/>
      <c r="Z26" s="17"/>
      <c r="AA26" s="17"/>
      <c r="AB26" s="17"/>
      <c r="AC26" s="17"/>
    </row>
    <row r="27" spans="1:29" ht="14.4">
      <c r="A27" s="16"/>
      <c r="B27" s="17" t="s">
        <v>690</v>
      </c>
      <c r="C27" s="17" t="s">
        <v>691</v>
      </c>
      <c r="D27" s="17" t="s">
        <v>768</v>
      </c>
      <c r="E27" s="17" t="str">
        <f>IF(D27&lt;&gt;"","WY"&amp;COUNTIF($D$2:D27,"&lt;&gt;"),"")</f>
        <v>WY22</v>
      </c>
      <c r="F27" s="17"/>
      <c r="G27" s="60" t="str">
        <f t="shared" si="0"/>
        <v>https://doi.org/10.1049/iet-cvi.2019.0897</v>
      </c>
      <c r="H27" s="17" t="s">
        <v>811</v>
      </c>
      <c r="I27" s="17">
        <v>2020</v>
      </c>
      <c r="J27" s="17"/>
      <c r="K27" s="17"/>
      <c r="L27" s="17"/>
      <c r="M27" s="17"/>
      <c r="N27" s="17"/>
      <c r="O27" s="17"/>
      <c r="P27" s="17" t="s">
        <v>692</v>
      </c>
      <c r="Q27" s="17"/>
      <c r="R27" s="17"/>
      <c r="S27" s="17"/>
      <c r="T27" s="17"/>
      <c r="U27" s="17"/>
      <c r="V27" s="17"/>
      <c r="W27" s="17"/>
      <c r="X27" s="17"/>
      <c r="Y27" s="17"/>
      <c r="Z27" s="17"/>
      <c r="AA27" s="17"/>
      <c r="AB27" s="17"/>
      <c r="AC27" s="17"/>
    </row>
    <row r="28" spans="1:29" ht="14.4">
      <c r="A28" s="16"/>
      <c r="B28" s="17" t="s">
        <v>812</v>
      </c>
      <c r="C28" s="17" t="s">
        <v>813</v>
      </c>
      <c r="D28" s="17" t="s">
        <v>819</v>
      </c>
      <c r="E28" s="17" t="str">
        <f>IF(D28&lt;&gt;"","WY"&amp;COUNTIF($D$2:D28,"&lt;&gt;"),"")</f>
        <v>WY23</v>
      </c>
      <c r="F28" s="17"/>
      <c r="G28" s="60" t="str">
        <f t="shared" si="0"/>
        <v>https://doi.org/10.4218/etrij.2023-0116</v>
      </c>
      <c r="H28" s="17" t="s">
        <v>815</v>
      </c>
      <c r="I28" s="17">
        <v>2023</v>
      </c>
      <c r="J28" s="17"/>
      <c r="K28" s="17"/>
      <c r="L28" s="17"/>
      <c r="M28" s="17"/>
      <c r="N28" s="17"/>
      <c r="O28" s="17"/>
      <c r="P28" s="17" t="s">
        <v>814</v>
      </c>
      <c r="Q28" s="17"/>
      <c r="R28" s="17"/>
      <c r="S28" s="17"/>
      <c r="T28" s="17"/>
      <c r="U28" s="17"/>
      <c r="V28" s="17"/>
      <c r="W28" s="17"/>
      <c r="X28" s="17"/>
      <c r="Y28" s="17"/>
      <c r="Z28" s="17"/>
      <c r="AA28" s="17"/>
      <c r="AB28" s="17"/>
      <c r="AC28" s="17"/>
    </row>
    <row r="29" spans="1:29" ht="14.4">
      <c r="B29" s="17"/>
      <c r="C29" s="17"/>
      <c r="D29" s="17"/>
      <c r="E29" s="17"/>
      <c r="F29" s="17"/>
      <c r="G29" s="60" t="str">
        <f t="shared" si="0"/>
        <v/>
      </c>
      <c r="H29" s="17"/>
      <c r="I29" s="17"/>
      <c r="J29" s="17"/>
      <c r="K29" s="17"/>
      <c r="L29" s="17"/>
      <c r="M29" s="17"/>
      <c r="N29" s="17"/>
      <c r="O29" s="17"/>
      <c r="P29" s="17"/>
      <c r="Q29" s="17"/>
      <c r="R29" s="17"/>
      <c r="S29" s="17"/>
      <c r="T29" s="17"/>
      <c r="U29" s="17"/>
      <c r="V29" s="17"/>
      <c r="W29" s="17"/>
      <c r="X29" s="17"/>
      <c r="Y29" s="17"/>
      <c r="Z29" s="17"/>
      <c r="AA29" s="17"/>
      <c r="AB29" s="17"/>
      <c r="AC29" s="17"/>
    </row>
    <row r="30" spans="1:29" ht="14.4">
      <c r="A30" s="16"/>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ht="14.4">
      <c r="A31" s="16"/>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ht="14.4">
      <c r="A32" s="16"/>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ht="14.4">
      <c r="A33" s="16"/>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ht="14.4">
      <c r="A34" s="16"/>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ht="14.4">
      <c r="A35" s="16"/>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ht="14.4">
      <c r="A36" s="16"/>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ht="14.4">
      <c r="A37" s="16"/>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ht="14.4">
      <c r="A38" s="16"/>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ht="14.4">
      <c r="A39" s="16"/>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ht="14.4">
      <c r="A40" s="16"/>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ht="14.4">
      <c r="A41" s="16"/>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ht="14.4">
      <c r="A42" s="16"/>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ht="14.4">
      <c r="A43" s="16"/>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ht="14.4">
      <c r="A44" s="16"/>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ht="14.4">
      <c r="A45" s="16"/>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ht="14.4">
      <c r="A46" s="16"/>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ht="14.4">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ht="14.4">
      <c r="A48" s="16"/>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ht="14.4">
      <c r="A49" s="16"/>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ht="14.4">
      <c r="A50" s="16"/>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spans="1:29" ht="14.4">
      <c r="A51" s="16"/>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spans="1:29" ht="14.4">
      <c r="A52" s="16"/>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ht="14.4">
      <c r="A53" s="16"/>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ht="14.4">
      <c r="A54" s="16"/>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ht="14.4">
      <c r="A55" s="16"/>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spans="1:29" ht="14.4">
      <c r="A56" s="16"/>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spans="1:29" ht="14.4">
      <c r="A57" s="16"/>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spans="1:29" ht="14.4">
      <c r="A58" s="16"/>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spans="1:29" ht="14.4">
      <c r="A59" s="16"/>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spans="1:29" ht="14.4">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spans="1:29" ht="14.4">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ht="14.4">
      <c r="A62" s="16"/>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ht="14.4">
      <c r="A63" s="16"/>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ht="14.4">
      <c r="A64" s="16"/>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spans="1:29" ht="14.4">
      <c r="A65" s="16"/>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spans="1:29" ht="14.4">
      <c r="A66" s="16"/>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spans="1:29" ht="14.4">
      <c r="A67" s="16"/>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spans="1:29" ht="14.4">
      <c r="A68" s="16"/>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spans="1:29" ht="14.4">
      <c r="A69" s="16"/>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spans="1:29" ht="14.4">
      <c r="A70" s="16"/>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ht="14.4">
      <c r="A71" s="16"/>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ht="14.4">
      <c r="A72" s="16"/>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spans="1:29" ht="14.4">
      <c r="A73" s="16"/>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spans="1:29" ht="14.4">
      <c r="A74" s="16"/>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spans="1:29" ht="14.4">
      <c r="A75" s="16"/>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spans="1:29" ht="14.4">
      <c r="A76" s="16"/>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spans="1:29" ht="14.4">
      <c r="A77" s="16"/>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spans="1:29" ht="14.4">
      <c r="A78" s="16"/>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spans="1:29" ht="14.4">
      <c r="A79" s="16"/>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spans="1:29" ht="14.4">
      <c r="A80" s="16"/>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spans="1:29" ht="14.4">
      <c r="A81" s="16"/>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spans="1:29" ht="14.4">
      <c r="A82" s="16"/>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spans="1:29" ht="14.4">
      <c r="A83" s="16"/>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spans="1:29" ht="14.4">
      <c r="A84" s="16"/>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spans="1:29" ht="14.4">
      <c r="A85" s="16"/>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spans="1:29" ht="14.4">
      <c r="A86" s="16"/>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spans="1:29" ht="14.4">
      <c r="A87" s="16"/>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spans="1:29" ht="14.4">
      <c r="A88" s="16"/>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spans="1:29" ht="14.4">
      <c r="A89" s="16"/>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spans="1:29" ht="14.4">
      <c r="A90" s="16"/>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spans="1:29" ht="14.4">
      <c r="A91" s="16"/>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spans="1:29" ht="14.4">
      <c r="A92" s="16"/>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spans="1:29" ht="14.4">
      <c r="A93" s="16"/>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spans="1:29" ht="14.4">
      <c r="A94" s="16"/>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spans="1:29" ht="14.4">
      <c r="A95" s="16"/>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spans="1:29" ht="14.4">
      <c r="A96" s="16"/>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spans="1:29" ht="14.4">
      <c r="A97" s="16"/>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spans="1:29" ht="14.4">
      <c r="A98" s="16"/>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spans="1:29" ht="14.4">
      <c r="A99" s="16"/>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spans="1:29" ht="14.4">
      <c r="A100" s="16"/>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spans="1:29" ht="14.4">
      <c r="A101" s="16"/>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spans="1:29" ht="14.4">
      <c r="A102" s="16"/>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spans="1:29" ht="14.4">
      <c r="A103" s="16"/>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spans="1:29" ht="14.4">
      <c r="A104" s="16"/>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spans="1:29" ht="14.4">
      <c r="A105" s="16"/>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spans="1:29" ht="14.4">
      <c r="A106" s="16"/>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spans="1:29" ht="14.4">
      <c r="A107" s="16"/>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spans="1:29" ht="14.4">
      <c r="A108" s="16"/>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spans="1:29" ht="14.4">
      <c r="A109" s="16"/>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spans="1:29" ht="14.4">
      <c r="A110" s="16"/>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ht="14.4">
      <c r="A111" s="16"/>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29" ht="14.4">
      <c r="A112" s="16"/>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ht="14.4">
      <c r="A113" s="16"/>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ht="14.4">
      <c r="A114" s="16"/>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ht="14.4">
      <c r="A115" s="16"/>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ht="14.4">
      <c r="A116" s="16"/>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ht="14.4">
      <c r="A117" s="16"/>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ht="14.4">
      <c r="A118" s="16"/>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ht="14.4">
      <c r="A119" s="16"/>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ht="14.4">
      <c r="A120" s="16"/>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ht="14.4">
      <c r="A121" s="16"/>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ht="14.4">
      <c r="A122" s="16"/>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ht="14.4">
      <c r="A123" s="16"/>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ht="14.4">
      <c r="A124" s="16"/>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ht="14.4">
      <c r="A125" s="16"/>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ht="14.4">
      <c r="A126" s="16"/>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ht="14.4">
      <c r="A127" s="16"/>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ht="14.4">
      <c r="A128" s="16"/>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spans="1:29" ht="14.4">
      <c r="A129" s="16"/>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ht="14.4">
      <c r="A130" s="16"/>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ht="14.4">
      <c r="A131" s="16"/>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ht="14.4">
      <c r="A132" s="16"/>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ht="14.4">
      <c r="A133" s="16"/>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ht="14.4">
      <c r="A134" s="16"/>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ht="14.4">
      <c r="A135" s="16"/>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ht="14.4">
      <c r="A136" s="16"/>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ht="14.4">
      <c r="A137" s="16"/>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ht="14.4">
      <c r="A138" s="16"/>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ht="14.4">
      <c r="A139" s="16"/>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ht="14.4">
      <c r="A140" s="16"/>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ht="14.4">
      <c r="A141" s="16"/>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ht="14.4">
      <c r="A142" s="16"/>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ht="14.4">
      <c r="A143" s="16"/>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ht="14.4">
      <c r="A144" s="16"/>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ht="14.4">
      <c r="A145" s="16"/>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ht="14.4">
      <c r="A146" s="16"/>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ht="14.4">
      <c r="A147" s="16"/>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14.4">
      <c r="A148" s="16"/>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14.4">
      <c r="A149" s="16"/>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14.4">
      <c r="A150" s="16"/>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14.4">
      <c r="A151" s="16"/>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14.4">
      <c r="A152" s="16"/>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14.4">
      <c r="A153" s="16"/>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14.4">
      <c r="A154" s="16"/>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14.4">
      <c r="A155" s="16"/>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14.4">
      <c r="A156" s="16"/>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14.4">
      <c r="A157" s="16"/>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14.4">
      <c r="A158" s="16"/>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14.4">
      <c r="A159" s="16"/>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14.4">
      <c r="A160" s="16"/>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14.4">
      <c r="A161" s="16"/>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14.4">
      <c r="A162" s="16"/>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14.4">
      <c r="A163" s="16"/>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14.4">
      <c r="A164" s="16"/>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14.4">
      <c r="A165" s="16"/>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14.4">
      <c r="A166" s="16"/>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14.4">
      <c r="A167" s="16"/>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14.4">
      <c r="A168" s="16"/>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14.4">
      <c r="A169" s="16"/>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14.4">
      <c r="A170" s="16"/>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14.4">
      <c r="A171" s="16"/>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14.4">
      <c r="A172" s="16"/>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14.4">
      <c r="A173" s="16"/>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14.4">
      <c r="A174" s="16"/>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14.4">
      <c r="A175" s="16"/>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14.4">
      <c r="A176" s="16"/>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14.4">
      <c r="A177" s="16"/>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14.4">
      <c r="A178" s="16"/>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14.4">
      <c r="A179" s="16"/>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14.4">
      <c r="A180" s="16"/>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14.4">
      <c r="A181" s="16"/>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14.4">
      <c r="A182" s="16"/>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14.4">
      <c r="A183" s="16"/>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14.4">
      <c r="A184" s="16"/>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14.4">
      <c r="A185" s="16"/>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14.4">
      <c r="A186" s="16"/>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14.4">
      <c r="A187" s="16"/>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14.4">
      <c r="A188" s="16"/>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14.4">
      <c r="A189" s="16"/>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14.4">
      <c r="A190" s="16"/>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14.4">
      <c r="A191" s="16"/>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14.4">
      <c r="A192" s="16"/>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14.4">
      <c r="A193" s="16"/>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14.4">
      <c r="A194" s="16"/>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14.4">
      <c r="A195" s="16"/>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14.4">
      <c r="A196" s="16"/>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14.4">
      <c r="A197" s="16"/>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14.4">
      <c r="A198" s="16"/>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14.4">
      <c r="A199" s="16"/>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14.4">
      <c r="A200" s="16"/>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14.4">
      <c r="A201" s="16"/>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14.4">
      <c r="A202" s="16"/>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14.4">
      <c r="A203" s="16"/>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14.4">
      <c r="A204" s="16"/>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14.4">
      <c r="A205" s="16"/>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14.4">
      <c r="A206" s="16"/>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14.4">
      <c r="A207" s="16"/>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14.4">
      <c r="A208" s="16"/>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14.4">
      <c r="A209" s="16"/>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14.4">
      <c r="A210" s="16"/>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14.4">
      <c r="A211" s="16"/>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14.4">
      <c r="A212" s="16"/>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14.4">
      <c r="A213" s="16"/>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14.4">
      <c r="A214" s="16"/>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14.4">
      <c r="A215" s="16"/>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14.4">
      <c r="A216" s="16"/>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14.4">
      <c r="A217" s="16"/>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14.4">
      <c r="A218" s="16"/>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14.4">
      <c r="A219" s="16"/>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14.4">
      <c r="A220" s="16"/>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14.4">
      <c r="A221" s="16"/>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14.4">
      <c r="A222" s="16"/>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14.4">
      <c r="A223" s="16"/>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14.4">
      <c r="A224" s="16"/>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14.4">
      <c r="A225" s="16"/>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14.4">
      <c r="A226" s="16"/>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14.4">
      <c r="A227" s="16"/>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14.4">
      <c r="A228" s="16"/>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14.4">
      <c r="A229" s="16"/>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14.4">
      <c r="A230" s="16"/>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14.4">
      <c r="A231" s="16"/>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14.4">
      <c r="A232" s="16"/>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14.4">
      <c r="A233" s="16"/>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14.4">
      <c r="A234" s="16"/>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14.4">
      <c r="A235" s="16"/>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14.4">
      <c r="A236" s="16"/>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14.4">
      <c r="A237" s="16"/>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14.4">
      <c r="A238" s="16"/>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14.4">
      <c r="A239" s="16"/>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14.4">
      <c r="A240" s="16"/>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14.4">
      <c r="A241" s="16"/>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14.4">
      <c r="A242" s="16"/>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14.4">
      <c r="A243" s="16"/>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14.4">
      <c r="A244" s="16"/>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14.4">
      <c r="A245" s="16"/>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14.4">
      <c r="A246" s="16"/>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14.4">
      <c r="A247" s="16"/>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14.4">
      <c r="A248" s="16"/>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14.4">
      <c r="A249" s="16"/>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14.4">
      <c r="A250" s="16"/>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14.4">
      <c r="A251" s="16"/>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14.4">
      <c r="A252" s="16"/>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14.4">
      <c r="A253" s="16"/>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14.4">
      <c r="A254" s="16"/>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14.4">
      <c r="A255" s="16"/>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14.4">
      <c r="A256" s="16"/>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14.4">
      <c r="A257" s="16"/>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14.4">
      <c r="A258" s="16"/>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14.4">
      <c r="A259" s="16"/>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14.4">
      <c r="A260" s="16"/>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14.4">
      <c r="A261" s="16"/>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14.4">
      <c r="A262" s="16"/>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14.4">
      <c r="A263" s="16"/>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14.4">
      <c r="A264" s="16"/>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14.4">
      <c r="A265" s="16"/>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14.4">
      <c r="A266" s="16"/>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14.4">
      <c r="A267" s="16"/>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14.4">
      <c r="A268" s="16"/>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14.4">
      <c r="A269" s="16"/>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14.4">
      <c r="A270" s="16"/>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14.4">
      <c r="A271" s="16"/>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14.4">
      <c r="A272" s="16"/>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14.4">
      <c r="A273" s="16"/>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14.4">
      <c r="A274" s="16"/>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14.4">
      <c r="A275" s="16"/>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14.4">
      <c r="A276" s="16"/>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14.4">
      <c r="A277" s="16"/>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14.4">
      <c r="A278" s="16"/>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14.4">
      <c r="A279" s="16"/>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14.4">
      <c r="A280" s="16"/>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14.4">
      <c r="A281" s="16"/>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14.4">
      <c r="A282" s="16"/>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14.4">
      <c r="A283" s="16"/>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14.4">
      <c r="A284" s="16"/>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14.4">
      <c r="A285" s="16"/>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14.4">
      <c r="A286" s="16"/>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14.4">
      <c r="A287" s="16"/>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14.4">
      <c r="A288" s="16"/>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14.4">
      <c r="A289" s="16"/>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14.4">
      <c r="A290" s="16"/>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14.4">
      <c r="A291" s="16"/>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14.4">
      <c r="A292" s="16"/>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14.4">
      <c r="A293" s="16"/>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14.4">
      <c r="A294" s="16"/>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14.4">
      <c r="A295" s="16"/>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14.4">
      <c r="A296" s="16"/>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14.4">
      <c r="A297" s="16"/>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14.4">
      <c r="A298" s="16"/>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14.4">
      <c r="A299" s="16"/>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14.4">
      <c r="A300" s="16"/>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14.4">
      <c r="A301" s="16"/>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14.4">
      <c r="A302" s="16"/>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14.4">
      <c r="A303" s="16"/>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14.4">
      <c r="A304" s="16"/>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14.4">
      <c r="A305" s="16"/>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14.4">
      <c r="A306" s="16"/>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14.4">
      <c r="A307" s="16"/>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14.4">
      <c r="A308" s="16"/>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14.4">
      <c r="A309" s="16"/>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14.4">
      <c r="A310" s="16"/>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14.4">
      <c r="A311" s="16"/>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14.4">
      <c r="A312" s="16"/>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14.4">
      <c r="A313" s="16"/>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14.4">
      <c r="A314" s="16"/>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14.4">
      <c r="A315" s="16"/>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14.4">
      <c r="A316" s="16"/>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14.4">
      <c r="A317" s="16"/>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14.4">
      <c r="A318" s="16"/>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14.4">
      <c r="A319" s="16"/>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14.4">
      <c r="A320" s="16"/>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14.4">
      <c r="A321" s="16"/>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14.4">
      <c r="A322" s="16"/>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14.4">
      <c r="A323" s="16"/>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14.4">
      <c r="A324" s="16"/>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14.4">
      <c r="A325" s="16"/>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14.4">
      <c r="A326" s="16"/>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14.4">
      <c r="A327" s="16"/>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14.4">
      <c r="A328" s="16"/>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14.4">
      <c r="A329" s="16"/>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14.4">
      <c r="A330" s="16"/>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14.4">
      <c r="A331" s="16"/>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14.4">
      <c r="A332" s="16"/>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14.4">
      <c r="A333" s="16"/>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14.4">
      <c r="A334" s="16"/>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14.4">
      <c r="A335" s="16"/>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14.4">
      <c r="A336" s="16"/>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14.4">
      <c r="A337" s="16"/>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14.4">
      <c r="A338" s="16"/>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14.4">
      <c r="A339" s="16"/>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14.4">
      <c r="A340" s="16"/>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14.4">
      <c r="A341" s="16"/>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14.4">
      <c r="A342" s="16"/>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14.4">
      <c r="A343" s="16"/>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14.4">
      <c r="A344" s="16"/>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14.4">
      <c r="A345" s="16"/>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14.4">
      <c r="A346" s="16"/>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14.4">
      <c r="A347" s="16"/>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14.4">
      <c r="A348" s="16"/>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14.4">
      <c r="A349" s="16"/>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14.4">
      <c r="A350" s="16"/>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14.4">
      <c r="A351" s="16"/>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14.4">
      <c r="A352" s="16"/>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14.4">
      <c r="A353" s="16"/>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14.4">
      <c r="A354" s="16"/>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14.4">
      <c r="A355" s="16"/>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14.4">
      <c r="A356" s="16"/>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14.4">
      <c r="A357" s="16"/>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14.4">
      <c r="A358" s="16"/>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14.4">
      <c r="A359" s="16"/>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14.4">
      <c r="A360" s="16"/>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14.4">
      <c r="A361" s="16"/>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14.4">
      <c r="A362" s="16"/>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14.4">
      <c r="A363" s="16"/>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14.4">
      <c r="A364" s="16"/>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14.4">
      <c r="A365" s="16"/>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14.4">
      <c r="A366" s="16"/>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14.4">
      <c r="A367" s="16"/>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14.4">
      <c r="A368" s="16"/>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14.4">
      <c r="A369" s="16"/>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14.4">
      <c r="A370" s="16"/>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14.4">
      <c r="A371" s="16"/>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14.4">
      <c r="A372" s="16"/>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14.4">
      <c r="A373" s="16"/>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14.4">
      <c r="A374" s="16"/>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14.4">
      <c r="A375" s="16"/>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14.4">
      <c r="A376" s="16"/>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14.4">
      <c r="A377" s="16"/>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14.4">
      <c r="A378" s="16"/>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14.4">
      <c r="A379" s="16"/>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14.4">
      <c r="A380" s="16"/>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14.4">
      <c r="A381" s="16"/>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14.4">
      <c r="A382" s="16"/>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14.4">
      <c r="A383" s="16"/>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14.4">
      <c r="A384" s="16"/>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14.4">
      <c r="A385" s="16"/>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14.4">
      <c r="A386" s="16"/>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14.4">
      <c r="A387" s="16"/>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14.4">
      <c r="A388" s="16"/>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14.4">
      <c r="A389" s="16"/>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14.4">
      <c r="A390" s="16"/>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14.4">
      <c r="A391" s="16"/>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14.4">
      <c r="A392" s="16"/>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14.4">
      <c r="A393" s="16"/>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14.4">
      <c r="A394" s="16"/>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14.4">
      <c r="A395" s="16"/>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14.4">
      <c r="A396" s="16"/>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14.4">
      <c r="A397" s="16"/>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14.4">
      <c r="A398" s="16"/>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14.4">
      <c r="A399" s="16"/>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14.4">
      <c r="A400" s="16"/>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14.4">
      <c r="A401" s="16"/>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14.4">
      <c r="A402" s="16"/>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14.4">
      <c r="A403" s="16"/>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14.4">
      <c r="A404" s="16"/>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14.4">
      <c r="A405" s="16"/>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14.4">
      <c r="A406" s="16"/>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14.4">
      <c r="A407" s="16"/>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14.4">
      <c r="A408" s="16"/>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14.4">
      <c r="A409" s="16"/>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14.4">
      <c r="A410" s="16"/>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14.4">
      <c r="A411" s="16"/>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14.4">
      <c r="A412" s="16"/>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14.4">
      <c r="A413" s="16"/>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14.4">
      <c r="A414" s="16"/>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14.4">
      <c r="A415" s="16"/>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14.4">
      <c r="A416" s="16"/>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14.4">
      <c r="A417" s="16"/>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14.4">
      <c r="A418" s="16"/>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14.4">
      <c r="A419" s="16"/>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14.4">
      <c r="A420" s="16"/>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14.4">
      <c r="A421" s="16"/>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14.4">
      <c r="A422" s="16"/>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14.4">
      <c r="A423" s="16"/>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14.4">
      <c r="A424" s="16"/>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14.4">
      <c r="A425" s="16"/>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14.4">
      <c r="A426" s="16"/>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14.4">
      <c r="A427" s="16"/>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14.4">
      <c r="A428" s="16"/>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14.4">
      <c r="A429" s="16"/>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14.4">
      <c r="A430" s="16"/>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14.4">
      <c r="A431" s="16"/>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14.4">
      <c r="A432" s="16"/>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14.4">
      <c r="A433" s="16"/>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14.4">
      <c r="A434" s="16"/>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14.4">
      <c r="A435" s="16"/>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14.4">
      <c r="A436" s="16"/>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14.4">
      <c r="A437" s="16"/>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14.4">
      <c r="A438" s="16"/>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14.4">
      <c r="A439" s="16"/>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14.4">
      <c r="A440" s="16"/>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14.4">
      <c r="A441" s="16"/>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14.4">
      <c r="A442" s="16"/>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14.4">
      <c r="A443" s="16"/>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14.4">
      <c r="A444" s="16"/>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14.4">
      <c r="A445" s="16"/>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14.4">
      <c r="A446" s="16"/>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14.4">
      <c r="A447" s="16"/>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14.4">
      <c r="A448" s="16"/>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14.4">
      <c r="A449" s="16"/>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14.4">
      <c r="A450" s="16"/>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14.4">
      <c r="A451" s="16"/>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14.4">
      <c r="A452" s="16"/>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14.4">
      <c r="A453" s="16"/>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14.4">
      <c r="A454" s="16"/>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14.4">
      <c r="A455" s="16"/>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14.4">
      <c r="A456" s="16"/>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14.4">
      <c r="A457" s="16"/>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14.4">
      <c r="A458" s="16"/>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14.4">
      <c r="A459" s="16"/>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14.4">
      <c r="A460" s="16"/>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14.4">
      <c r="A461" s="16"/>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14.4">
      <c r="A462" s="16"/>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14.4">
      <c r="A463" s="16"/>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14.4">
      <c r="A464" s="16"/>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14.4">
      <c r="A465" s="16"/>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14.4">
      <c r="A466" s="16"/>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14.4">
      <c r="A467" s="16"/>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14.4">
      <c r="A468" s="16"/>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14.4">
      <c r="A469" s="16"/>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14.4">
      <c r="A470" s="16"/>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14.4">
      <c r="A471" s="16"/>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14.4">
      <c r="A472" s="16"/>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14.4">
      <c r="A473" s="16"/>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14.4">
      <c r="A474" s="16"/>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14.4">
      <c r="A475" s="16"/>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14.4">
      <c r="A476" s="16"/>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14.4">
      <c r="A477" s="16"/>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14.4">
      <c r="A478" s="16"/>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14.4">
      <c r="A479" s="16"/>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14.4">
      <c r="A480" s="16"/>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14.4">
      <c r="A481" s="16"/>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14.4">
      <c r="A482" s="16"/>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14.4">
      <c r="A483" s="16"/>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14.4">
      <c r="A484" s="16"/>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14.4">
      <c r="A485" s="16"/>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14.4">
      <c r="A486" s="16"/>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14.4">
      <c r="A487" s="16"/>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14.4">
      <c r="A488" s="16"/>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14.4">
      <c r="A489" s="16"/>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14.4">
      <c r="A490" s="16"/>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14.4">
      <c r="A491" s="16"/>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14.4">
      <c r="A492" s="16"/>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14.4">
      <c r="A493" s="16"/>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14.4">
      <c r="A494" s="16"/>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14.4">
      <c r="A495" s="16"/>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14.4">
      <c r="A496" s="16"/>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14.4">
      <c r="A497" s="16"/>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14.4">
      <c r="A498" s="16"/>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14.4">
      <c r="A499" s="16"/>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14.4">
      <c r="A500" s="16"/>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14.4">
      <c r="A501" s="16"/>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14.4">
      <c r="A502" s="16"/>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14.4">
      <c r="A503" s="16"/>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14.4">
      <c r="A504" s="16"/>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14.4">
      <c r="A505" s="16"/>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14.4">
      <c r="A506" s="16"/>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14.4">
      <c r="A507" s="16"/>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14.4">
      <c r="A508" s="16"/>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14.4">
      <c r="A509" s="16"/>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14.4">
      <c r="A510" s="16"/>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14.4">
      <c r="A511" s="16"/>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14.4">
      <c r="A512" s="16"/>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14.4">
      <c r="A513" s="16"/>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14.4">
      <c r="A514" s="16"/>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14.4">
      <c r="A515" s="16"/>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14.4">
      <c r="A516" s="16"/>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14.4">
      <c r="A517" s="16"/>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14.4">
      <c r="A518" s="16"/>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14.4">
      <c r="A519" s="16"/>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14.4">
      <c r="A520" s="16"/>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14.4">
      <c r="A521" s="16"/>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14.4">
      <c r="A522" s="16"/>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14.4">
      <c r="A523" s="16"/>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14.4">
      <c r="A524" s="16"/>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14.4">
      <c r="A525" s="16"/>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14.4">
      <c r="A526" s="16"/>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14.4">
      <c r="A527" s="16"/>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14.4">
      <c r="A528" s="16"/>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14.4">
      <c r="A529" s="16"/>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14.4">
      <c r="A530" s="16"/>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14.4">
      <c r="A531" s="16"/>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14.4">
      <c r="A532" s="16"/>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14.4">
      <c r="A533" s="16"/>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14.4">
      <c r="A534" s="16"/>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14.4">
      <c r="A535" s="16"/>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14.4">
      <c r="A536" s="16"/>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14.4">
      <c r="A537" s="16"/>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14.4">
      <c r="A538" s="16"/>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14.4">
      <c r="A539" s="16"/>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14.4">
      <c r="A540" s="16"/>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14.4">
      <c r="A541" s="16"/>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14.4">
      <c r="A542" s="16"/>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14.4">
      <c r="A543" s="16"/>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14.4">
      <c r="A544" s="16"/>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14.4">
      <c r="A545" s="16"/>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14.4">
      <c r="A546" s="16"/>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14.4">
      <c r="A547" s="16"/>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14.4">
      <c r="A548" s="16"/>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14.4">
      <c r="A549" s="16"/>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14.4">
      <c r="A550" s="16"/>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14.4">
      <c r="A551" s="16"/>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14.4">
      <c r="A552" s="16"/>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14.4">
      <c r="A553" s="16"/>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14.4">
      <c r="A554" s="16"/>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14.4">
      <c r="A555" s="16"/>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14.4">
      <c r="A556" s="16"/>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14.4">
      <c r="A557" s="16"/>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14.4">
      <c r="A558" s="16"/>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14.4">
      <c r="A559" s="16"/>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14.4">
      <c r="A560" s="16"/>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14.4">
      <c r="A561" s="16"/>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14.4">
      <c r="A562" s="16"/>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14.4">
      <c r="A563" s="16"/>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14.4">
      <c r="A564" s="16"/>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14.4">
      <c r="A565" s="16"/>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14.4">
      <c r="A566" s="16"/>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14.4">
      <c r="A567" s="16"/>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14.4">
      <c r="A568" s="16"/>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14.4">
      <c r="A569" s="16"/>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14.4">
      <c r="A570" s="16"/>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14.4">
      <c r="A571" s="16"/>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14.4">
      <c r="A572" s="16"/>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14.4">
      <c r="A573" s="16"/>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14.4">
      <c r="A574" s="16"/>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14.4">
      <c r="A575" s="16"/>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14.4">
      <c r="A576" s="16"/>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14.4">
      <c r="A577" s="16"/>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14.4">
      <c r="A578" s="16"/>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14.4">
      <c r="A579" s="16"/>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14.4">
      <c r="A580" s="16"/>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14.4">
      <c r="A581" s="16"/>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14.4">
      <c r="A582" s="16"/>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14.4">
      <c r="A583" s="16"/>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14.4">
      <c r="A584" s="16"/>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14.4">
      <c r="A585" s="16"/>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14.4">
      <c r="A586" s="16"/>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14.4">
      <c r="A587" s="16"/>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14.4">
      <c r="A588" s="16"/>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14.4">
      <c r="A589" s="16"/>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14.4">
      <c r="A590" s="16"/>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14.4">
      <c r="A591" s="16"/>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14.4">
      <c r="A592" s="16"/>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14.4">
      <c r="A593" s="16"/>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14.4">
      <c r="A594" s="16"/>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14.4">
      <c r="A595" s="16"/>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14.4">
      <c r="A596" s="16"/>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14.4">
      <c r="A597" s="16"/>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14.4">
      <c r="A598" s="16"/>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14.4">
      <c r="A599" s="16"/>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14.4">
      <c r="A600" s="16"/>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14.4">
      <c r="A601" s="16"/>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14.4">
      <c r="A602" s="16"/>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14.4">
      <c r="A603" s="16"/>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14.4">
      <c r="A604" s="16"/>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14.4">
      <c r="A605" s="16"/>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14.4">
      <c r="A606" s="16"/>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14.4">
      <c r="A607" s="16"/>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14.4">
      <c r="A608" s="16"/>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14.4">
      <c r="A609" s="16"/>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14.4">
      <c r="A610" s="16"/>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14.4">
      <c r="A611" s="16"/>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14.4">
      <c r="A612" s="16"/>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14.4">
      <c r="A613" s="16"/>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14.4">
      <c r="A614" s="16"/>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14.4">
      <c r="A615" s="16"/>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14.4">
      <c r="A616" s="16"/>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14.4">
      <c r="A617" s="16"/>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14.4">
      <c r="A618" s="16"/>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14.4">
      <c r="A619" s="16"/>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14.4">
      <c r="A620" s="16"/>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14.4">
      <c r="A621" s="16"/>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14.4">
      <c r="A622" s="16"/>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14.4">
      <c r="A623" s="16"/>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14.4">
      <c r="A624" s="16"/>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14.4">
      <c r="A625" s="16"/>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14.4">
      <c r="A626" s="16"/>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14.4">
      <c r="A627" s="16"/>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14.4">
      <c r="A628" s="16"/>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14.4">
      <c r="A629" s="16"/>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14.4">
      <c r="A630" s="16"/>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14.4">
      <c r="A631" s="16"/>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14.4">
      <c r="A632" s="16"/>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14.4">
      <c r="A633" s="16"/>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14.4">
      <c r="A634" s="16"/>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14.4">
      <c r="A635" s="16"/>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14.4">
      <c r="A636" s="16"/>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14.4">
      <c r="A637" s="16"/>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14.4">
      <c r="A638" s="16"/>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14.4">
      <c r="A639" s="16"/>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14.4">
      <c r="A640" s="16"/>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14.4">
      <c r="A641" s="16"/>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14.4">
      <c r="A642" s="16"/>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14.4">
      <c r="A643" s="16"/>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14.4">
      <c r="A644" s="16"/>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14.4">
      <c r="A645" s="16"/>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14.4">
      <c r="A646" s="16"/>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14.4">
      <c r="A647" s="16"/>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14.4">
      <c r="A648" s="16"/>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14.4">
      <c r="A649" s="16"/>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14.4">
      <c r="A650" s="16"/>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14.4">
      <c r="A651" s="16"/>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14.4">
      <c r="A652" s="16"/>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14.4">
      <c r="A653" s="16"/>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14.4">
      <c r="A654" s="16"/>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14.4">
      <c r="A655" s="16"/>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14.4">
      <c r="A656" s="16"/>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14.4">
      <c r="A657" s="16"/>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14.4">
      <c r="A658" s="16"/>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14.4">
      <c r="A659" s="16"/>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14.4">
      <c r="A660" s="16"/>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14.4">
      <c r="A661" s="16"/>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14.4">
      <c r="A662" s="16"/>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14.4">
      <c r="A663" s="16"/>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14.4">
      <c r="A664" s="16"/>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14.4">
      <c r="A665" s="16"/>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14.4">
      <c r="A666" s="16"/>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14.4">
      <c r="A667" s="16"/>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14.4">
      <c r="A668" s="16"/>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14.4">
      <c r="A669" s="16"/>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14.4">
      <c r="A670" s="16"/>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14.4">
      <c r="A671" s="16"/>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14.4">
      <c r="A672" s="16"/>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14.4">
      <c r="A673" s="16"/>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14.4">
      <c r="A674" s="16"/>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14.4">
      <c r="A675" s="16"/>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14.4">
      <c r="A676" s="16"/>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14.4">
      <c r="A677" s="16"/>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14.4">
      <c r="A678" s="16"/>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14.4">
      <c r="A679" s="16"/>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14.4">
      <c r="A680" s="16"/>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14.4">
      <c r="A681" s="16"/>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14.4">
      <c r="A682" s="16"/>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14.4">
      <c r="A683" s="16"/>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14.4">
      <c r="A684" s="16"/>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14.4">
      <c r="A685" s="16"/>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14.4">
      <c r="A686" s="16"/>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14.4">
      <c r="A687" s="16"/>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14.4">
      <c r="A688" s="16"/>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14.4">
      <c r="A689" s="16"/>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14.4">
      <c r="A690" s="16"/>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14.4">
      <c r="A691" s="16"/>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14.4">
      <c r="A692" s="16"/>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14.4">
      <c r="A693" s="16"/>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14.4">
      <c r="A694" s="16"/>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14.4">
      <c r="A695" s="16"/>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14.4">
      <c r="A696" s="16"/>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14.4">
      <c r="A697" s="16"/>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14.4">
      <c r="A698" s="16"/>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14.4">
      <c r="A699" s="16"/>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14.4">
      <c r="A700" s="16"/>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14.4">
      <c r="A701" s="16"/>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14.4">
      <c r="A702" s="16"/>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14.4">
      <c r="A703" s="16"/>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14.4">
      <c r="A704" s="16"/>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14.4">
      <c r="A705" s="16"/>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14.4">
      <c r="A706" s="16"/>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14.4">
      <c r="A707" s="16"/>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14.4">
      <c r="A708" s="16"/>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14.4">
      <c r="A709" s="16"/>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14.4">
      <c r="A710" s="16"/>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14.4">
      <c r="A711" s="16"/>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14.4">
      <c r="A712" s="16"/>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14.4">
      <c r="A713" s="16"/>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14.4">
      <c r="A714" s="16"/>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14.4">
      <c r="A715" s="16"/>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14.4">
      <c r="A716" s="16"/>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14.4">
      <c r="A717" s="16"/>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14.4">
      <c r="A718" s="16"/>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14.4">
      <c r="A719" s="16"/>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14.4">
      <c r="A720" s="16"/>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14.4">
      <c r="A721" s="16"/>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14.4">
      <c r="A722" s="16"/>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14.4">
      <c r="A723" s="16"/>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14.4">
      <c r="A724" s="16"/>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14.4">
      <c r="A725" s="16"/>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14.4">
      <c r="A726" s="16"/>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14.4">
      <c r="A727" s="16"/>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14.4">
      <c r="A728" s="16"/>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14.4">
      <c r="A729" s="16"/>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14.4">
      <c r="A730" s="16"/>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14.4">
      <c r="A731" s="16"/>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14.4">
      <c r="A732" s="16"/>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14.4">
      <c r="A733" s="16"/>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14.4">
      <c r="A734" s="16"/>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14.4">
      <c r="A735" s="16"/>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14.4">
      <c r="A736" s="16"/>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14.4">
      <c r="A737" s="16"/>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14.4">
      <c r="A738" s="16"/>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14.4">
      <c r="A739" s="16"/>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14.4">
      <c r="A740" s="16"/>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14.4">
      <c r="A741" s="16"/>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14.4">
      <c r="A742" s="16"/>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14.4">
      <c r="A743" s="16"/>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14.4">
      <c r="A744" s="16"/>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14.4">
      <c r="A745" s="16"/>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14.4">
      <c r="A746" s="16"/>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14.4">
      <c r="A747" s="16"/>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14.4">
      <c r="A748" s="16"/>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14.4">
      <c r="A749" s="16"/>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14.4">
      <c r="A750" s="16"/>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14.4">
      <c r="A751" s="16"/>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14.4">
      <c r="A752" s="16"/>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14.4">
      <c r="A753" s="16"/>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14.4">
      <c r="A754" s="16"/>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14.4">
      <c r="A755" s="16"/>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14.4">
      <c r="A756" s="16"/>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14.4">
      <c r="A757" s="16"/>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14.4">
      <c r="A758" s="16"/>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14.4">
      <c r="A759" s="16"/>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14.4">
      <c r="A760" s="16"/>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14.4">
      <c r="A761" s="16"/>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14.4">
      <c r="A762" s="16"/>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14.4">
      <c r="A763" s="16"/>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14.4">
      <c r="A764" s="16"/>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14.4">
      <c r="A765" s="16"/>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14.4">
      <c r="A766" s="16"/>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14.4">
      <c r="A767" s="16"/>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14.4">
      <c r="A768" s="16"/>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14.4">
      <c r="A769" s="16"/>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14.4">
      <c r="A770" s="16"/>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14.4">
      <c r="A771" s="16"/>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14.4">
      <c r="A772" s="16"/>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14.4">
      <c r="A773" s="16"/>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14.4">
      <c r="A774" s="16"/>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14.4">
      <c r="A775" s="16"/>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14.4">
      <c r="A776" s="16"/>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14.4">
      <c r="A777" s="16"/>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14.4">
      <c r="A778" s="16"/>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14.4">
      <c r="A779" s="16"/>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14.4">
      <c r="A780" s="16"/>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14.4">
      <c r="A781" s="16"/>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14.4">
      <c r="A782" s="16"/>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14.4">
      <c r="A783" s="16"/>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14.4">
      <c r="A784" s="16"/>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14.4">
      <c r="A785" s="16"/>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14.4">
      <c r="A786" s="16"/>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14.4">
      <c r="A787" s="16"/>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14.4">
      <c r="A788" s="16"/>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14.4">
      <c r="A789" s="16"/>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14.4">
      <c r="A790" s="16"/>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14.4">
      <c r="A791" s="16"/>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14.4">
      <c r="A792" s="16"/>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14.4">
      <c r="A793" s="16"/>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14.4">
      <c r="A794" s="16"/>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14.4">
      <c r="A795" s="16"/>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14.4">
      <c r="A796" s="16"/>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14.4">
      <c r="A797" s="16"/>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14.4">
      <c r="A798" s="16"/>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14.4">
      <c r="A799" s="16"/>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14.4">
      <c r="A800" s="16"/>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14.4">
      <c r="A801" s="16"/>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14.4">
      <c r="A802" s="16"/>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14.4">
      <c r="A803" s="16"/>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14.4">
      <c r="A804" s="16"/>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14.4">
      <c r="A805" s="16"/>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14.4">
      <c r="A806" s="16"/>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14.4">
      <c r="A807" s="16"/>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14.4">
      <c r="A808" s="16"/>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14.4">
      <c r="A809" s="16"/>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14.4">
      <c r="A810" s="16"/>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14.4">
      <c r="A811" s="16"/>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14.4">
      <c r="A812" s="16"/>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14.4">
      <c r="A813" s="16"/>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14.4">
      <c r="A814" s="16"/>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14.4">
      <c r="A815" s="16"/>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14.4">
      <c r="A816" s="16"/>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14.4">
      <c r="A817" s="16"/>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14.4">
      <c r="A818" s="16"/>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14.4">
      <c r="A819" s="16"/>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14.4">
      <c r="A820" s="16"/>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14.4">
      <c r="A821" s="16"/>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14.4">
      <c r="A822" s="16"/>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14.4">
      <c r="A823" s="16"/>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14.4">
      <c r="A824" s="16"/>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14.4">
      <c r="A825" s="16"/>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14.4">
      <c r="A826" s="16"/>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14.4">
      <c r="A827" s="16"/>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14.4">
      <c r="A828" s="16"/>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14.4">
      <c r="A829" s="16"/>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14.4">
      <c r="A830" s="16"/>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14.4">
      <c r="A831" s="16"/>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14.4">
      <c r="A832" s="16"/>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14.4">
      <c r="A833" s="16"/>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14.4">
      <c r="A834" s="16"/>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14.4">
      <c r="A835" s="16"/>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14.4">
      <c r="A836" s="16"/>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14.4">
      <c r="A837" s="16"/>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14.4">
      <c r="A838" s="16"/>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14.4">
      <c r="A839" s="16"/>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14.4">
      <c r="A840" s="16"/>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14.4">
      <c r="A841" s="16"/>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14.4">
      <c r="A842" s="16"/>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14.4">
      <c r="A843" s="16"/>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14.4">
      <c r="A844" s="16"/>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14.4">
      <c r="A845" s="16"/>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14.4">
      <c r="A846" s="16"/>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14.4">
      <c r="A847" s="16"/>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14.4">
      <c r="A848" s="16"/>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14.4">
      <c r="A849" s="16"/>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14.4">
      <c r="A850" s="16"/>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14.4">
      <c r="A851" s="16"/>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14.4">
      <c r="A852" s="16"/>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14.4">
      <c r="A853" s="16"/>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14.4">
      <c r="A854" s="16"/>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14.4">
      <c r="A855" s="16"/>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14.4">
      <c r="A856" s="16"/>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14.4">
      <c r="A857" s="16"/>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14.4">
      <c r="A858" s="16"/>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14.4">
      <c r="A859" s="16"/>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14.4">
      <c r="A860" s="16"/>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14.4">
      <c r="A861" s="16"/>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14.4">
      <c r="A862" s="16"/>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14.4">
      <c r="A863" s="16"/>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14.4">
      <c r="A864" s="16"/>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14.4">
      <c r="A865" s="16"/>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14.4">
      <c r="A866" s="16"/>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14.4">
      <c r="A867" s="16"/>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14.4">
      <c r="A868" s="16"/>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14.4">
      <c r="A869" s="16"/>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14.4">
      <c r="A870" s="16"/>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14.4">
      <c r="A871" s="16"/>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14.4">
      <c r="A872" s="16"/>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14.4">
      <c r="A873" s="16"/>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14.4">
      <c r="A874" s="16"/>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14.4">
      <c r="A875" s="16"/>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14.4">
      <c r="A876" s="16"/>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14.4">
      <c r="A877" s="16"/>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14.4">
      <c r="A878" s="16"/>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14.4">
      <c r="A879" s="16"/>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14.4">
      <c r="A880" s="16"/>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14.4">
      <c r="A881" s="16"/>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14.4">
      <c r="A882" s="16"/>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14.4">
      <c r="A883" s="16"/>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14.4">
      <c r="A884" s="16"/>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14.4">
      <c r="A885" s="16"/>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14.4">
      <c r="A886" s="16"/>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14.4">
      <c r="A887" s="16"/>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14.4">
      <c r="A888" s="16"/>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14.4">
      <c r="A889" s="16"/>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14.4">
      <c r="A890" s="16"/>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14.4">
      <c r="A891" s="16"/>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14.4">
      <c r="A892" s="16"/>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14.4">
      <c r="A893" s="16"/>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14.4">
      <c r="A894" s="16"/>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14.4">
      <c r="A895" s="16"/>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14.4">
      <c r="A896" s="16"/>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14.4">
      <c r="A897" s="16"/>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14.4">
      <c r="A898" s="16"/>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14.4">
      <c r="A899" s="16"/>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14.4">
      <c r="A900" s="16"/>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14.4">
      <c r="A901" s="16"/>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14.4">
      <c r="A902" s="16"/>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14.4">
      <c r="A903" s="16"/>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14.4">
      <c r="A904" s="16"/>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14.4">
      <c r="A905" s="16"/>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14.4">
      <c r="A906" s="16"/>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14.4">
      <c r="A907" s="16"/>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14.4">
      <c r="A908" s="16"/>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14.4">
      <c r="A909" s="16"/>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14.4">
      <c r="A910" s="16"/>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14.4">
      <c r="A911" s="16"/>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14.4">
      <c r="A912" s="16"/>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14.4">
      <c r="A913" s="16"/>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14.4">
      <c r="A914" s="16"/>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14.4">
      <c r="A915" s="16"/>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14.4">
      <c r="A916" s="16"/>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14.4">
      <c r="A917" s="16"/>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14.4">
      <c r="A918" s="16"/>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14.4">
      <c r="A919" s="16"/>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14.4">
      <c r="A920" s="16"/>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14.4">
      <c r="A921" s="16"/>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14.4">
      <c r="A922" s="16"/>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14.4">
      <c r="A923" s="16"/>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14.4">
      <c r="A924" s="16"/>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14.4">
      <c r="A925" s="16"/>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14.4">
      <c r="A926" s="16"/>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14.4">
      <c r="A927" s="16"/>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14.4">
      <c r="A928" s="16"/>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14.4">
      <c r="A929" s="16"/>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14.4">
      <c r="A930" s="16"/>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14.4">
      <c r="A931" s="16"/>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14.4">
      <c r="A932" s="16"/>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14.4">
      <c r="A933" s="16"/>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14.4">
      <c r="A934" s="16"/>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14.4">
      <c r="A935" s="16"/>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14.4">
      <c r="A936" s="16"/>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14.4">
      <c r="A937" s="16"/>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14.4">
      <c r="A938" s="16"/>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14.4">
      <c r="A939" s="16"/>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14.4">
      <c r="A940" s="16"/>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14.4">
      <c r="A941" s="16"/>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14.4">
      <c r="A942" s="16"/>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14.4">
      <c r="A943" s="16"/>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14.4">
      <c r="A944" s="16"/>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14.4">
      <c r="A945" s="16"/>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14.4">
      <c r="A946" s="16"/>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14.4">
      <c r="A947" s="16"/>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14.4">
      <c r="A948" s="16"/>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14.4">
      <c r="A949" s="16"/>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14.4">
      <c r="A950" s="16"/>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14.4">
      <c r="A951" s="16"/>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14.4">
      <c r="A952" s="16"/>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14.4">
      <c r="A953" s="16"/>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14.4">
      <c r="A954" s="16"/>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14.4">
      <c r="A955" s="16"/>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14.4">
      <c r="A956" s="16"/>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14.4">
      <c r="A957" s="16"/>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14.4">
      <c r="A958" s="16"/>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14.4">
      <c r="A959" s="16"/>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14.4">
      <c r="A960" s="16"/>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14.4">
      <c r="A961" s="16"/>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14.4">
      <c r="A962" s="16"/>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14.4">
      <c r="A963" s="16"/>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14.4">
      <c r="A964" s="16"/>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14.4">
      <c r="A965" s="16"/>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14.4">
      <c r="A966" s="16"/>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14.4">
      <c r="A967" s="16"/>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14.4">
      <c r="A968" s="16"/>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14.4">
      <c r="A969" s="16"/>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14.4">
      <c r="A970" s="16"/>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14.4">
      <c r="A971" s="16"/>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14.4">
      <c r="A972" s="16"/>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14.4">
      <c r="A973" s="16"/>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14.4">
      <c r="A974" s="16"/>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14.4">
      <c r="A975" s="16"/>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14.4">
      <c r="A976" s="16"/>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14.4">
      <c r="A977" s="16"/>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14.4">
      <c r="A978" s="16"/>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14.4">
      <c r="A979" s="16"/>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14.4">
      <c r="A980" s="16"/>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14.4">
      <c r="A981" s="16"/>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14.4">
      <c r="A982" s="16"/>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14.4">
      <c r="A983" s="16"/>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14.4">
      <c r="A984" s="16"/>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14.4">
      <c r="A985" s="16"/>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14.4">
      <c r="A986" s="16"/>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14.4">
      <c r="A987" s="16"/>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14.4">
      <c r="A988" s="16"/>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14.4">
      <c r="A989" s="16"/>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14.4">
      <c r="A990" s="16"/>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14.4">
      <c r="A991" s="16"/>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14.4">
      <c r="A992" s="16"/>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14.4">
      <c r="A993" s="16"/>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14.4">
      <c r="A994" s="16"/>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14.4">
      <c r="A995" s="16"/>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14.4">
      <c r="A996" s="16"/>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14.4">
      <c r="A997" s="16"/>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14.4">
      <c r="A998" s="16"/>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14.4">
      <c r="A999" s="16"/>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spans="1:29" ht="14.4">
      <c r="A1000" s="16"/>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row r="1001" spans="1:29" ht="14.4">
      <c r="A1001" s="16"/>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row>
    <row r="1002" spans="1:29" ht="14.4">
      <c r="A1002" s="16"/>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row>
    <row r="1003" spans="1:29" ht="14.4">
      <c r="A1003" s="16"/>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row>
    <row r="1004" spans="1:29" ht="14.4">
      <c r="A1004" s="16"/>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row>
    <row r="1005" spans="1:29" ht="14.4">
      <c r="A1005" s="16"/>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row>
    <row r="1006" spans="1:29" ht="14.4">
      <c r="A1006" s="16"/>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row>
    <row r="1007" spans="1:29" ht="14.4">
      <c r="A1007" s="16"/>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row>
    <row r="1008" spans="1:29" ht="14.4">
      <c r="A1008" s="16"/>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row>
    <row r="1009" spans="1:29" ht="14.4">
      <c r="A1009" s="16"/>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row>
    <row r="1010" spans="1:29" ht="14.4">
      <c r="A1010" s="16"/>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row>
    <row r="1011" spans="1:29" ht="14.4">
      <c r="A1011" s="16"/>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row>
    <row r="1012" spans="1:29" ht="14.4">
      <c r="A1012" s="16"/>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row>
    <row r="1013" spans="1:29" ht="14.4">
      <c r="A1013" s="16"/>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row>
    <row r="1014" spans="1:29" ht="14.4">
      <c r="A1014" s="16"/>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row>
    <row r="1015" spans="1:29" ht="14.4">
      <c r="A1015" s="16"/>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row>
    <row r="1016" spans="1:29" ht="14.4">
      <c r="A1016" s="16"/>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row>
    <row r="1017" spans="1:29" ht="14.4">
      <c r="A1017" s="16"/>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row>
    <row r="1018" spans="1:29" ht="14.4">
      <c r="A1018" s="16"/>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row>
    <row r="1019" spans="1:29" ht="14.4">
      <c r="A1019" s="16"/>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row>
    <row r="1020" spans="1:29" ht="14.4">
      <c r="A1020" s="16"/>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row>
    <row r="1021" spans="1:29" ht="14.4">
      <c r="A1021" s="16"/>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row>
    <row r="1022" spans="1:29" ht="14.4">
      <c r="A1022" s="16"/>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row>
    <row r="1023" spans="1:29" ht="14.4">
      <c r="A1023" s="16"/>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row>
    <row r="1024" spans="1:29" ht="14.4">
      <c r="A1024" s="16"/>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row>
    <row r="1025" spans="1:29" ht="14.4">
      <c r="A1025" s="16"/>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row>
    <row r="1026" spans="1:29" ht="14.4">
      <c r="A1026" s="16"/>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row>
    <row r="1027" spans="1:29" ht="14.4">
      <c r="A1027" s="16"/>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row>
    <row r="1028" spans="1:29" ht="14.4">
      <c r="A1028" s="16"/>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row>
    <row r="1029" spans="1:29" ht="14.4">
      <c r="A1029" s="16"/>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row>
    <row r="1030" spans="1:29" ht="14.4">
      <c r="A1030" s="16"/>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row>
    <row r="1031" spans="1:29" ht="14.4">
      <c r="A1031" s="16"/>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row>
    <row r="1032" spans="1:29" ht="14.4">
      <c r="A1032" s="16"/>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row>
    <row r="1033" spans="1:29" ht="14.4">
      <c r="A1033" s="16"/>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row>
    <row r="1034" spans="1:29" ht="14.4">
      <c r="A1034" s="16"/>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row>
    <row r="1035" spans="1:29" ht="14.4">
      <c r="A1035" s="16"/>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row>
    <row r="1036" spans="1:29" ht="14.4">
      <c r="A1036" s="16"/>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row>
    <row r="1037" spans="1:29" ht="14.4">
      <c r="A1037" s="16"/>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row>
    <row r="1038" spans="1:29" ht="14.4">
      <c r="A1038" s="16"/>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row>
    <row r="1039" spans="1:29" ht="14.4">
      <c r="A1039" s="16"/>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row>
    <row r="1040" spans="1:29" ht="14.4">
      <c r="A1040" s="16"/>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row>
    <row r="1041" spans="1:29" ht="14.4">
      <c r="A1041" s="16"/>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row>
    <row r="1042" spans="1:29" ht="14.4">
      <c r="A1042" s="16"/>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row>
    <row r="1043" spans="1:29" ht="14.4">
      <c r="A1043" s="16"/>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row>
    <row r="1044" spans="1:29" ht="14.4">
      <c r="A1044" s="16"/>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row>
  </sheetData>
  <conditionalFormatting sqref="F1">
    <cfRule type="expression" dxfId="15" priority="262">
      <formula>COUNTIF($G$2:$G$980,$G2)&gt;1</formula>
    </cfRule>
  </conditionalFormatting>
  <conditionalFormatting sqref="F2:F1044 D6 I7 D8:D12 I13 D14:D17 I18 I23 I29:I1044">
    <cfRule type="expression" dxfId="14" priority="8">
      <formula>COUNTIF(D:D,D2)&gt;1</formula>
    </cfRule>
  </conditionalFormatting>
  <conditionalFormatting sqref="F1:G1">
    <cfRule type="expression" dxfId="13" priority="7">
      <formula>COUNTIF(G:G,G1)&gt;1</formula>
    </cfRule>
  </conditionalFormatting>
  <dataValidations count="1">
    <dataValidation type="list" allowBlank="1" showErrorMessage="1" sqref="H7 H5" xr:uid="{00000000-0002-0000-0600-000000000000}">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Sorted list</vt:lpstr>
      <vt:lpstr>Sorted list</vt:lpstr>
      <vt:lpstr>Check Duplicates</vt:lpstr>
      <vt:lpstr>IEEE Xplore</vt:lpstr>
      <vt:lpstr>SpringerLink</vt:lpstr>
      <vt:lpstr>Taylor &amp; Francis</vt:lpstr>
      <vt:lpstr>Science Direct</vt:lpstr>
      <vt:lpstr>ACM Digital</vt:lpstr>
      <vt:lpstr>Wiley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Nimtharu Jayasekara</cp:lastModifiedBy>
  <dcterms:modified xsi:type="dcterms:W3CDTF">2025-10-07T18:00:02Z</dcterms:modified>
</cp:coreProperties>
</file>